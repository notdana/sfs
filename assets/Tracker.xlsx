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lestone 1" sheetId="1" r:id="rId5"/>
    <sheet state="visible" name="Data" sheetId="2" r:id="rId6"/>
  </sheets>
  <definedNames/>
  <calcPr/>
</workbook>
</file>

<file path=xl/sharedStrings.xml><?xml version="1.0" encoding="utf-8"?>
<sst xmlns="http://schemas.openxmlformats.org/spreadsheetml/2006/main" count="1016" uniqueCount="155">
  <si>
    <t>Grade</t>
  </si>
  <si>
    <t>Section</t>
  </si>
  <si>
    <t>Group</t>
  </si>
  <si>
    <t>Project Submitted?</t>
  </si>
  <si>
    <t>Brief Description</t>
  </si>
  <si>
    <t>Reviewed?</t>
  </si>
  <si>
    <t>Review notes</t>
  </si>
  <si>
    <t>Assessed?</t>
  </si>
  <si>
    <t>Date Submitted</t>
  </si>
  <si>
    <t>Assessment Score</t>
  </si>
  <si>
    <t>Grade 6</t>
  </si>
  <si>
    <t>A</t>
  </si>
  <si>
    <t>B</t>
  </si>
  <si>
    <t>C</t>
  </si>
  <si>
    <t>Drone Delivery</t>
  </si>
  <si>
    <t>Talk to the group</t>
  </si>
  <si>
    <t>D</t>
  </si>
  <si>
    <t>E</t>
  </si>
  <si>
    <t>Smart Library Book Finder</t>
  </si>
  <si>
    <t>Outdoor Bicycle Rack</t>
  </si>
  <si>
    <t>F</t>
  </si>
  <si>
    <t>G</t>
  </si>
  <si>
    <t>Smart Zebra Crossing</t>
  </si>
  <si>
    <t>H</t>
  </si>
  <si>
    <t>Library Management System</t>
  </si>
  <si>
    <t>Food Ordering System for Canteen</t>
  </si>
  <si>
    <t xml:space="preserve">Automatic Doors, AI powered lost and found system </t>
  </si>
  <si>
    <t>Map for Malls</t>
  </si>
  <si>
    <t>I</t>
  </si>
  <si>
    <t>Smart Office (Windows, ACs, Ventilation, Chair)</t>
  </si>
  <si>
    <t>J</t>
  </si>
  <si>
    <t>Space Saving Furnitures</t>
  </si>
  <si>
    <t>Energy Saving Using Motion Sensor</t>
  </si>
  <si>
    <t>K</t>
  </si>
  <si>
    <t>Automatic Water Tap</t>
  </si>
  <si>
    <t>L</t>
  </si>
  <si>
    <t>Grade 7</t>
  </si>
  <si>
    <t>AI based system to predict the cause of issues in the crops</t>
  </si>
  <si>
    <t>Detailed Problem Statement along with Design Brief and Worksheet submitted</t>
  </si>
  <si>
    <t>Smart Seed Sowing Robot</t>
  </si>
  <si>
    <t xml:space="preserve">                                                   </t>
  </si>
  <si>
    <t>Only Worksheet submitted</t>
  </si>
  <si>
    <t>AI powered smart farming (precision agriculture)</t>
  </si>
  <si>
    <t>Detailed documents submitted explaining the problem statement, design brief, working of the prototype and costing</t>
  </si>
  <si>
    <t>AgroScan Rover (monitor crop health, detect plant diseases, check soil moisture, identify areas that need attention)</t>
  </si>
  <si>
    <t>Detailed problem statement and design brief submitted, worksheets are scattered</t>
  </si>
  <si>
    <t>Food Management System for Restaurants, Bakeries, Cafes, etc</t>
  </si>
  <si>
    <t>Hand written Problem Statement and Design Brief submitted, Solution seems slightly off topic in some features</t>
  </si>
  <si>
    <t>Rough Work submitted</t>
  </si>
  <si>
    <t>Submitted a physical robot body made of cardboard and cups, no problem statement or design brief submitted. NEED TO TALK TO THE GROUP</t>
  </si>
  <si>
    <t xml:space="preserve">Farmdroid (autonomous field robot, helps in sowing, weeding, spraying chemicals, etc) </t>
  </si>
  <si>
    <t>Detailed Design Brief and Problem Statement submitted</t>
  </si>
  <si>
    <t>RAD (Ripening Agent Detector)</t>
  </si>
  <si>
    <t>Problem statement and design brief submitted, however one statement in design brief contradicts the whole solution</t>
  </si>
  <si>
    <t>Grade 8</t>
  </si>
  <si>
    <t>Autonomous Hospital Ward Assistant</t>
  </si>
  <si>
    <t xml:space="preserve">Robot for Delivery </t>
  </si>
  <si>
    <t>Autonomous Delivery Robot</t>
  </si>
  <si>
    <t>Grade 9</t>
  </si>
  <si>
    <t>Digital Live Tracking system for public transport</t>
  </si>
  <si>
    <t>AI Powered Road Safety System</t>
  </si>
  <si>
    <t>AI powered indoor spatial navigation &amp; hazard alert system for visually impaired commuters</t>
  </si>
  <si>
    <t>AI-Powered Reverse Logistics Management System</t>
  </si>
  <si>
    <t>Digital-AI-powered crowd management system for public places</t>
  </si>
  <si>
    <t>Missing part-Design brief, Team contribution</t>
  </si>
  <si>
    <t>Physical&amp; Digital-Drone Delivery system for emergency medical supplies</t>
  </si>
  <si>
    <t>Very effective research &amp; implementation plan</t>
  </si>
  <si>
    <t>Physical &amp; Digital-Smart Pedestrian crossing system</t>
  </si>
  <si>
    <t xml:space="preserve">Report describes two different problems-description of pedestrian road crossing issue and another is blind spot detection that are two different sub domains. </t>
  </si>
  <si>
    <t>Digital-AI-powered Driver Drowsiness &amp; Speed Monitoring System</t>
  </si>
  <si>
    <t>Entire Research conducted by YAASHVI , No contribution of team</t>
  </si>
  <si>
    <t>AI Powered water transport safety alert</t>
  </si>
  <si>
    <t>AI Powered road safety system</t>
  </si>
  <si>
    <t>AI-powered emergency Drone Delivery system</t>
  </si>
  <si>
    <t>AI-powered smart Scheduling platform for Public Transportation</t>
  </si>
  <si>
    <t>Solar powered Safe junction system-smart poles</t>
  </si>
  <si>
    <t>Autonomous medical drone delivery system</t>
  </si>
  <si>
    <t>Smart live tracking transit application</t>
  </si>
  <si>
    <t>Redseigning public transport stations</t>
  </si>
  <si>
    <t>AI Powered adaptive pedestrian crossing system</t>
  </si>
  <si>
    <t>5 satellites for space</t>
  </si>
  <si>
    <t>Road safety for pedestrians</t>
  </si>
  <si>
    <t>Road safety for cyclists</t>
  </si>
  <si>
    <t>AI Powered warehouse movement</t>
  </si>
  <si>
    <t>AI Powered car pooling platform</t>
  </si>
  <si>
    <t>Medical Drone Delivery System</t>
  </si>
  <si>
    <t>Smart public transport system</t>
  </si>
  <si>
    <t>AI Powered last mile drone delivery</t>
  </si>
  <si>
    <t>AI Powered Active vehicle safety and driver assistance</t>
  </si>
  <si>
    <t>Smart EV Fleet management app</t>
  </si>
  <si>
    <t>Smart Transit app for metro</t>
  </si>
  <si>
    <t>Smart pedestrian crosswalk solution</t>
  </si>
  <si>
    <t>Blind spot alert system</t>
  </si>
  <si>
    <t>Safe Nav Ai App</t>
  </si>
  <si>
    <t>AI Powered collabrative warehouse sorting robot</t>
  </si>
  <si>
    <r>
      <rPr>
        <rFont val="Arial"/>
        <color theme="1"/>
      </rPr>
      <t xml:space="preserve">Smart Passenger Assistance system for </t>
    </r>
    <r>
      <rPr>
        <rFont val="Arial"/>
        <b/>
        <color theme="1"/>
      </rPr>
      <t>Kashmere gate ISBT</t>
    </r>
  </si>
  <si>
    <t>Smart bus boarding system for the elderly &amp; disabled</t>
  </si>
  <si>
    <t>AI Powered smart navigation app</t>
  </si>
  <si>
    <t>Smart waste management solution</t>
  </si>
  <si>
    <t>Warehouse Robot</t>
  </si>
  <si>
    <r>
      <rPr>
        <rFont val="Arial"/>
        <b/>
        <color theme="1"/>
      </rPr>
      <t>Physical</t>
    </r>
    <r>
      <rPr>
        <rFont val="Arial"/>
        <color theme="1"/>
      </rPr>
      <t>-Automated Material Handling using Robot Movement System</t>
    </r>
  </si>
  <si>
    <r>
      <rPr>
        <rFont val="Arial"/>
        <b/>
        <color theme="1"/>
      </rPr>
      <t xml:space="preserve">Physical - </t>
    </r>
    <r>
      <rPr>
        <rFont val="Arial"/>
        <color theme="1"/>
      </rPr>
      <t>AI based robot for warehouses and Logistic</t>
    </r>
  </si>
  <si>
    <t>Smart Transport Solution</t>
  </si>
  <si>
    <r>
      <rPr>
        <rFont val="Arial"/>
        <b/>
        <color theme="1"/>
      </rPr>
      <t>Digital-</t>
    </r>
    <r>
      <rPr>
        <rFont val="Arial"/>
        <color theme="1"/>
      </rPr>
      <t>Live Bus Tracking app for the accurate Information lively.</t>
    </r>
  </si>
  <si>
    <r>
      <rPr>
        <rFont val="Arial"/>
        <b/>
        <color theme="1"/>
      </rPr>
      <t>Digital-</t>
    </r>
    <r>
      <rPr>
        <rFont val="Arial"/>
        <b val="0"/>
        <color theme="1"/>
      </rPr>
      <t>Clean whater transport, using Electric and Hydro-powers</t>
    </r>
  </si>
  <si>
    <t>AI-powered edge enforcement unit &amp; multi-lane smart camera system</t>
  </si>
  <si>
    <t>Smarter Public transport system</t>
  </si>
  <si>
    <t>AI Based Smart Traffic Signal</t>
  </si>
  <si>
    <t>Real time Bus tracking system</t>
  </si>
  <si>
    <r>
      <rPr>
        <rFont val="Arial"/>
        <b/>
        <color theme="1"/>
      </rPr>
      <t xml:space="preserve">Physical &amp; Digital- </t>
    </r>
    <r>
      <rPr>
        <rFont val="Arial"/>
        <color theme="1"/>
      </rPr>
      <t>-REVAMP, Road Safety- Accident detection &amp; emergency response</t>
    </r>
  </si>
  <si>
    <t>Presented all the parameters, Only Team work part is not presented well</t>
  </si>
  <si>
    <r>
      <rPr>
        <rFont val="Arial"/>
        <b/>
        <color theme="1"/>
      </rPr>
      <t xml:space="preserve">Physical &amp; Digital- </t>
    </r>
    <r>
      <rPr>
        <rFont val="Arial"/>
        <color theme="1"/>
      </rPr>
      <t>Mobility Use case-Driver Fatigue &amp; Distraction</t>
    </r>
  </si>
  <si>
    <t>All aspects covered except proper presentation of primary research (Survey not presented properly)</t>
  </si>
  <si>
    <r>
      <rPr>
        <rFont val="Arial"/>
        <b/>
        <color theme="1"/>
      </rPr>
      <t>Physical &amp; Digital-</t>
    </r>
    <r>
      <rPr>
        <rFont val="Arial"/>
        <color theme="1"/>
      </rPr>
      <t xml:space="preserve"> -Autonomous trash bin(</t>
    </r>
    <r>
      <rPr>
        <rFont val="Arial"/>
        <color rgb="FF6AA84F"/>
      </rPr>
      <t>business idea</t>
    </r>
    <r>
      <rPr>
        <rFont val="Arial"/>
        <color theme="1"/>
      </rPr>
      <t>)</t>
    </r>
  </si>
  <si>
    <t>Design Breif should include moer detail about the features (can be turned to business idea)</t>
  </si>
  <si>
    <t>Smart Ambulanca</t>
  </si>
  <si>
    <t>Medical Delivery using Drones</t>
  </si>
  <si>
    <t>Physical &amp; Digital- -AI Powered Road hazard detection system</t>
  </si>
  <si>
    <t xml:space="preserve">All aspects presented well except the team contribution explanation. A physically appearing prototype working model can be developed for better implementation </t>
  </si>
  <si>
    <r>
      <rPr>
        <rFont val="Arial"/>
        <b/>
        <color theme="1"/>
      </rPr>
      <t>Digital-</t>
    </r>
    <r>
      <rPr>
        <rFont val="Arial"/>
        <color theme="1"/>
      </rPr>
      <t>Smart Route optimization for last minute delivery</t>
    </r>
  </si>
  <si>
    <t xml:space="preserve">Not clearly presented: Team Description, Design influences, primary research, Design brief </t>
  </si>
  <si>
    <t>Grade 10</t>
  </si>
  <si>
    <t>AI Powerded School Lockers</t>
  </si>
  <si>
    <t>Laptop Stand</t>
  </si>
  <si>
    <t>Next Transit-AI Powered next generation bus stop app</t>
  </si>
  <si>
    <t>Classroom Navigator</t>
  </si>
  <si>
    <t>Bridge Binder-disaster Management</t>
  </si>
  <si>
    <t xml:space="preserve">PillNest-Smart pill reminder box for elderly </t>
  </si>
  <si>
    <t xml:space="preserve">Walking stick </t>
  </si>
  <si>
    <t>Hw tracking App</t>
  </si>
  <si>
    <t>Smart Bus Shelter</t>
  </si>
  <si>
    <t>Digital App for parents, teachers &amp; students</t>
  </si>
  <si>
    <t>Structured Digital design workflow</t>
  </si>
  <si>
    <t>AI powered Stock Intelligence</t>
  </si>
  <si>
    <t>Classroom Delivery Robot</t>
  </si>
  <si>
    <t>Bus Route App</t>
  </si>
  <si>
    <t>Organic Sanitary Napkins</t>
  </si>
  <si>
    <t>Lightweight Backpack</t>
  </si>
  <si>
    <t>AI powered smart regrigerator</t>
  </si>
  <si>
    <t>Plant watering Robot</t>
  </si>
  <si>
    <t>Bus stop shelter</t>
  </si>
  <si>
    <t>Smart peeler</t>
  </si>
  <si>
    <t>Grade 11</t>
  </si>
  <si>
    <t>SLOT1</t>
  </si>
  <si>
    <t>Law &amp; Justice Prison Management</t>
  </si>
  <si>
    <t>Scoratic AI Tutoring web app</t>
  </si>
  <si>
    <t>Empathetic Local edge AI Software interface</t>
  </si>
  <si>
    <t>AI Powered smart waste sorting bin</t>
  </si>
  <si>
    <t>Automatic drug discovery using robotic arm</t>
  </si>
  <si>
    <t>SLOT2</t>
  </si>
  <si>
    <t>AI Powered legal case management system</t>
  </si>
  <si>
    <t>Exam Surviellance</t>
  </si>
  <si>
    <t>Affordable, open-source AI legal research assistant</t>
  </si>
  <si>
    <t>Submitted</t>
  </si>
  <si>
    <t>Percent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</si>
</sst>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B10202"/>
      <name val="Roboto"/>
    </font>
    <font>
      <color rgb="FF473821"/>
      <name val="Roboto"/>
    </font>
    <font>
      <color rgb="FF11734B"/>
      <name val="Roboto"/>
    </font>
    <font>
      <color rgb="FF0A53A8"/>
      <name val="Roboto"/>
    </font>
    <font>
      <color rgb="FF5A3286"/>
      <name val="Roboto"/>
    </font>
    <font>
      <color rgb="FF000000"/>
      <name val="Arial"/>
      <scheme val="minor"/>
    </font>
    <font>
      <color rgb="FF741B47"/>
      <name val="Roboto"/>
    </font>
    <font>
      <color rgb="FF3C78D8"/>
      <name val="Roboto"/>
    </font>
    <font>
      <color rgb="FF783F04"/>
      <name val="Roboto"/>
    </font>
    <font>
      <color rgb="FF980000"/>
      <name val="Roboto"/>
    </font>
    <font>
      <color rgb="FFFFCFC9"/>
      <name val="Roboto"/>
    </font>
    <font>
      <color rgb="FFFFC8AA"/>
      <name val="Roboto"/>
    </font>
    <font>
      <color rgb="FFD4EDBC"/>
      <name val="Roboto"/>
    </font>
    <font>
      <color rgb="FFBFE0F6"/>
      <name val="Roboto"/>
    </font>
    <font>
      <color rgb="FFE5CFF2"/>
      <name val="Roboto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32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F6F8F9"/>
      </bottom>
    </border>
    <border>
      <right style="thin">
        <color rgb="FFFFFFFF"/>
      </right>
      <top style="thin">
        <color rgb="FF284E3F"/>
      </top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right style="thin">
        <color rgb="FFF6F8F9"/>
      </right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F6F8F9"/>
      </bottom>
    </border>
    <border>
      <right style="thin">
        <color rgb="FFFFFFFF"/>
      </right>
      <bottom style="thin">
        <color rgb="FFF6F8F9"/>
      </bottom>
    </border>
    <border>
      <right style="thin">
        <color rgb="FFF6F8F9"/>
      </right>
      <bottom style="thin">
        <color rgb="FF284E3F"/>
      </bottom>
    </border>
    <border>
      <left style="thin">
        <color rgb="FFFFFFFF"/>
      </left>
      <right style="thin">
        <color rgb="FFF6F8F9"/>
      </right>
      <bottom style="thin">
        <color rgb="FFF6F8F9"/>
      </bottom>
    </border>
    <border>
      <left style="thin">
        <color rgb="FFFFFFFF"/>
      </left>
      <right style="thin">
        <color rgb="FFF6F8F9"/>
      </right>
      <bottom style="thin">
        <color rgb="FF284E3F"/>
      </bottom>
    </border>
    <border>
      <right style="thin">
        <color rgb="FFF6F8F9"/>
      </right>
    </border>
    <border>
      <right style="thin">
        <color rgb="FFFFFFFF"/>
      </right>
      <top style="thin">
        <color rgb="FF000000"/>
      </top>
      <bottom style="thin">
        <color rgb="FFF6F8F9"/>
      </bottom>
    </border>
    <border>
      <top style="thin">
        <color rgb="FF000000"/>
      </top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F6F8F9"/>
      </bottom>
    </border>
    <border>
      <right style="thin">
        <color rgb="FFF6F8F9"/>
      </right>
      <top style="thin">
        <color rgb="FF000000"/>
      </top>
      <bottom style="thin">
        <color rgb="FFF6F8F9"/>
      </bottom>
    </border>
    <border>
      <bottom style="thin">
        <color rgb="FF000000"/>
      </bottom>
    </border>
    <border>
      <left style="thin">
        <color rgb="FFF6F8F9"/>
      </left>
      <right style="thin">
        <color rgb="FFF6F8F9"/>
      </right>
      <bottom style="thin">
        <color rgb="FF000000"/>
      </bottom>
    </border>
    <border>
      <right style="thin">
        <color rgb="FFF6F8F9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6F8F9"/>
      </right>
    </border>
    <border>
      <left style="thin">
        <color rgb="FFFFFFFF"/>
      </left>
      <top style="thin">
        <color rgb="FF000000"/>
      </top>
    </border>
    <border>
      <left style="thin">
        <color rgb="FFFFFFFF"/>
      </left>
    </border>
    <border>
      <left style="thin">
        <color rgb="FFFFFFFF"/>
      </lef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6F8F9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5" fillId="3" fontId="2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7" fillId="2" fontId="2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readingOrder="0" shrinkToFit="0" vertical="center" wrapText="1"/>
    </xf>
    <xf borderId="9" fillId="3" fontId="2" numFmtId="0" xfId="0" applyAlignment="1" applyBorder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8" fillId="3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8" fillId="3" fontId="5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readingOrder="0" shrinkToFit="0" vertical="center" wrapText="1"/>
    </xf>
    <xf borderId="8" fillId="3" fontId="6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shrinkToFit="0" vertical="center" wrapText="1"/>
    </xf>
    <xf borderId="11" fillId="3" fontId="7" numFmtId="0" xfId="0" applyAlignment="1" applyBorder="1" applyFont="1">
      <alignment horizontal="center" readingOrder="0" shrinkToFit="0" vertical="center" wrapText="1"/>
    </xf>
    <xf borderId="7" fillId="3" fontId="2" numFmtId="0" xfId="0" applyAlignment="1" applyBorder="1" applyFont="1">
      <alignment horizontal="center" readingOrder="0" shrinkToFit="0" vertical="center" wrapText="1"/>
    </xf>
    <xf borderId="6" fillId="2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0" fillId="3" fontId="2" numFmtId="0" xfId="0" applyAlignment="1" applyBorder="1" applyFont="1">
      <alignment horizontal="center" readingOrder="0" shrinkToFit="0" vertical="center" wrapText="1"/>
    </xf>
    <xf borderId="6" fillId="2" fontId="9" numFmtId="0" xfId="0" applyAlignment="1" applyBorder="1" applyFont="1">
      <alignment horizontal="center" readingOrder="0" shrinkToFit="0" vertical="center" wrapText="1"/>
    </xf>
    <xf borderId="8" fillId="3" fontId="9" numFmtId="0" xfId="0" applyAlignment="1" applyBorder="1" applyFont="1">
      <alignment horizontal="center" readingOrder="0" shrinkToFit="0" vertical="center" wrapText="1"/>
    </xf>
    <xf borderId="11" fillId="3" fontId="10" numFmtId="0" xfId="0" applyAlignment="1" applyBorder="1" applyFont="1">
      <alignment horizontal="center" readingOrder="0" shrinkToFit="0" vertical="center" wrapText="1"/>
    </xf>
    <xf borderId="6" fillId="2" fontId="10" numFmtId="0" xfId="0" applyAlignment="1" applyBorder="1" applyFont="1">
      <alignment horizontal="center" readingOrder="0" shrinkToFit="0" vertical="center" wrapText="1"/>
    </xf>
    <xf borderId="11" fillId="3" fontId="11" numFmtId="0" xfId="0" applyAlignment="1" applyBorder="1" applyFont="1">
      <alignment horizontal="center" readingOrder="0" shrinkToFit="0" vertical="center" wrapText="1"/>
    </xf>
    <xf borderId="6" fillId="2" fontId="11" numFmtId="0" xfId="0" applyAlignment="1" applyBorder="1" applyFont="1">
      <alignment horizontal="center" readingOrder="0" shrinkToFit="0" vertical="center" wrapText="1"/>
    </xf>
    <xf borderId="6" fillId="2" fontId="12" numFmtId="0" xfId="0" applyAlignment="1" applyBorder="1" applyFont="1">
      <alignment horizontal="center" readingOrder="0" shrinkToFit="0" vertical="center" wrapText="1"/>
    </xf>
    <xf borderId="8" fillId="3" fontId="12" numFmtId="0" xfId="0" applyAlignment="1" applyBorder="1" applyFont="1">
      <alignment horizontal="center" readingOrder="0" shrinkToFit="0" vertical="center" wrapText="1"/>
    </xf>
    <xf borderId="11" fillId="3" fontId="2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12" fillId="3" fontId="2" numFmtId="0" xfId="0" applyAlignment="1" applyBorder="1" applyFont="1">
      <alignment horizontal="center" readingOrder="0" shrinkToFit="0" vertical="center" wrapText="1"/>
    </xf>
    <xf borderId="13" fillId="3" fontId="2" numFmtId="0" xfId="0" applyAlignment="1" applyBorder="1" applyFont="1">
      <alignment horizontal="center" readingOrder="0" shrinkToFit="0" vertical="center" wrapText="1"/>
    </xf>
    <xf borderId="14" fillId="3" fontId="2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5" fillId="0" fontId="1" numFmtId="164" xfId="0" applyAlignment="1" applyBorder="1" applyFont="1" applyNumberFormat="1">
      <alignment horizontal="center" shrinkToFit="0" vertical="center" wrapText="1"/>
    </xf>
    <xf borderId="16" fillId="3" fontId="3" numFmtId="0" xfId="0" applyAlignment="1" applyBorder="1" applyFont="1">
      <alignment horizontal="center" readingOrder="0" shrinkToFit="0" vertical="center" wrapText="1"/>
    </xf>
    <xf borderId="17" fillId="3" fontId="2" numFmtId="0" xfId="0" applyAlignment="1" applyBorder="1" applyFont="1">
      <alignment horizontal="center" readingOrder="0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8" fillId="2" fontId="4" numFmtId="0" xfId="0" applyAlignment="1" applyBorder="1" applyFont="1">
      <alignment horizontal="center" readingOrder="0" shrinkToFit="0" vertical="center" wrapText="1"/>
    </xf>
    <xf borderId="19" fillId="2" fontId="2" numFmtId="0" xfId="0" applyAlignment="1" applyBorder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2" fontId="4" numFmtId="0" xfId="0" applyAlignment="1" applyBorder="1" applyFont="1">
      <alignment horizontal="center" readingOrder="0" shrinkToFit="0" vertical="center" wrapText="1"/>
    </xf>
    <xf borderId="22" fillId="2" fontId="2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0" fillId="0" fontId="1" numFmtId="164" xfId="0" applyAlignment="1" applyBorder="1" applyFont="1" applyNumberFormat="1">
      <alignment horizontal="center" readingOrder="0" shrinkToFit="0" vertical="center" wrapText="1"/>
    </xf>
    <xf borderId="23" fillId="3" fontId="2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0" fillId="0" fontId="1" numFmtId="164" xfId="0" applyAlignment="1" applyBorder="1" applyFont="1" applyNumberFormat="1">
      <alignment horizontal="center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22" fillId="3" fontId="2" numFmtId="0" xfId="0" applyAlignment="1" applyBorder="1" applyFont="1">
      <alignment horizontal="center" readingOrder="0" shrinkToFit="0" vertical="center" wrapText="1"/>
    </xf>
    <xf borderId="6" fillId="2" fontId="13" numFmtId="0" xfId="0" applyAlignment="1" applyBorder="1" applyFont="1">
      <alignment horizontal="center" readingOrder="0" shrinkToFit="0" vertical="center" wrapText="1"/>
    </xf>
    <xf borderId="8" fillId="3" fontId="13" numFmtId="0" xfId="0" applyAlignment="1" applyBorder="1" applyFont="1">
      <alignment horizontal="center" readingOrder="0" shrinkToFit="0" vertical="center" wrapText="1"/>
    </xf>
    <xf borderId="13" fillId="2" fontId="2" numFmtId="0" xfId="0" applyAlignment="1" applyBorder="1" applyFont="1">
      <alignment horizontal="center" readingOrder="0" shrinkToFit="0" vertical="center" wrapText="1"/>
    </xf>
    <xf borderId="11" fillId="3" fontId="14" numFmtId="0" xfId="0" applyAlignment="1" applyBorder="1" applyFont="1">
      <alignment horizontal="center" readingOrder="0" shrinkToFit="0" vertical="center" wrapText="1"/>
    </xf>
    <xf borderId="19" fillId="3" fontId="2" numFmtId="0" xfId="0" applyAlignment="1" applyBorder="1" applyFont="1">
      <alignment horizontal="center" readingOrder="0" shrinkToFit="0" vertical="center" wrapText="1"/>
    </xf>
    <xf borderId="6" fillId="2" fontId="14" numFmtId="0" xfId="0" applyAlignment="1" applyBorder="1" applyFont="1">
      <alignment horizontal="center" readingOrder="0" shrinkToFit="0" vertical="center" wrapText="1"/>
    </xf>
    <xf borderId="6" fillId="2" fontId="15" numFmtId="0" xfId="0" applyAlignment="1" applyBorder="1" applyFont="1">
      <alignment horizontal="center" readingOrder="0" shrinkToFit="0" vertical="center" wrapText="1"/>
    </xf>
    <xf borderId="8" fillId="3" fontId="15" numFmtId="0" xfId="0" applyAlignment="1" applyBorder="1" applyFont="1">
      <alignment horizontal="center" readingOrder="0" shrinkToFit="0" vertical="center" wrapText="1"/>
    </xf>
    <xf borderId="0" fillId="4" fontId="1" numFmtId="0" xfId="0" applyAlignment="1" applyFont="1">
      <alignment horizontal="center" shrinkToFit="0" vertical="center" wrapText="1"/>
    </xf>
    <xf borderId="11" fillId="3" fontId="16" numFmtId="0" xfId="0" applyAlignment="1" applyBorder="1" applyFont="1">
      <alignment horizontal="center" readingOrder="0" shrinkToFit="0" vertical="center" wrapText="1"/>
    </xf>
    <xf borderId="6" fillId="2" fontId="16" numFmtId="0" xfId="0" applyAlignment="1" applyBorder="1" applyFont="1">
      <alignment horizontal="center" readingOrder="0" shrinkToFit="0" vertical="center" wrapText="1"/>
    </xf>
    <xf borderId="6" fillId="2" fontId="17" numFmtId="0" xfId="0" applyAlignment="1" applyBorder="1" applyFont="1">
      <alignment horizontal="center" readingOrder="0" shrinkToFit="0" vertical="center" wrapText="1"/>
    </xf>
    <xf borderId="8" fillId="3" fontId="17" numFmtId="0" xfId="0" applyAlignment="1" applyBorder="1" applyFont="1">
      <alignment horizontal="center" readingOrder="0" shrinkToFit="0" vertical="center" wrapText="1"/>
    </xf>
    <xf borderId="20" fillId="0" fontId="18" numFmtId="0" xfId="0" applyAlignment="1" applyBorder="1" applyFont="1">
      <alignment horizontal="center" readingOrder="0" shrinkToFit="0" vertical="center" wrapText="1"/>
    </xf>
    <xf borderId="24" fillId="3" fontId="2" numFmtId="0" xfId="0" applyAlignment="1" applyBorder="1" applyFont="1">
      <alignment horizontal="center" readingOrder="0" shrinkToFit="0" vertical="center" wrapText="1"/>
    </xf>
    <xf borderId="25" fillId="3" fontId="3" numFmtId="0" xfId="0" applyAlignment="1" applyBorder="1" applyFont="1">
      <alignment horizontal="center" readingOrder="0" shrinkToFit="0" vertical="center" wrapText="1"/>
    </xf>
    <xf borderId="15" fillId="0" fontId="1" numFmtId="164" xfId="0" applyAlignment="1" applyBorder="1" applyFont="1" applyNumberFormat="1">
      <alignment horizontal="center" readingOrder="0" shrinkToFit="0" vertical="center" wrapText="1"/>
    </xf>
    <xf borderId="26" fillId="3" fontId="3" numFmtId="0" xfId="0" applyAlignment="1" applyBorder="1" applyFont="1">
      <alignment horizontal="center" readingOrder="0" shrinkToFit="0" vertical="center" wrapText="1"/>
    </xf>
    <xf borderId="27" fillId="3" fontId="3" numFmtId="0" xfId="0" applyAlignment="1" applyBorder="1" applyFont="1">
      <alignment horizontal="center" readingOrder="0" shrinkToFit="0" vertical="center" wrapText="1"/>
    </xf>
    <xf borderId="28" fillId="3" fontId="3" numFmtId="0" xfId="0" applyAlignment="1" applyBorder="1" applyFont="1">
      <alignment horizontal="center" readingOrder="0" shrinkToFit="0" vertical="center" wrapText="1"/>
    </xf>
    <xf borderId="28" fillId="3" fontId="5" numFmtId="0" xfId="0" applyAlignment="1" applyBorder="1" applyFont="1">
      <alignment horizontal="center" readingOrder="0" shrinkToFit="0" vertical="center" wrapText="1"/>
    </xf>
    <xf borderId="26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29" fillId="3" fontId="2" numFmtId="0" xfId="0" applyAlignment="1" applyBorder="1" applyFont="1">
      <alignment horizontal="center" shrinkToFit="0" vertical="center" wrapText="1"/>
    </xf>
    <xf borderId="30" fillId="3" fontId="2" numFmtId="0" xfId="0" applyAlignment="1" applyBorder="1" applyFont="1">
      <alignment horizontal="center" shrinkToFit="0" vertical="center" wrapText="1"/>
    </xf>
    <xf borderId="31" fillId="3" fontId="3" numFmtId="0" xfId="0" applyAlignment="1" applyBorder="1" applyFont="1">
      <alignment horizontal="center" readingOrder="0" shrinkToFit="0" vertical="center" wrapText="1"/>
    </xf>
    <xf borderId="28" fillId="3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ileston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29" displayName="Milestone_1" name="Milestone_1" id="1">
  <tableColumns count="10">
    <tableColumn name="Grade" id="1"/>
    <tableColumn name="Section" id="2"/>
    <tableColumn name="Group" id="3"/>
    <tableColumn name="Project Submitted?" id="4"/>
    <tableColumn name="Brief Description" id="5"/>
    <tableColumn name="Reviewed?" id="6"/>
    <tableColumn name="Review notes" id="7"/>
    <tableColumn name="Assessed?" id="8"/>
    <tableColumn name="Date Submitted" id="9"/>
    <tableColumn name="Assessment Score" id="10"/>
  </tableColumns>
  <tableStyleInfo name="Mileston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4.38"/>
    <col customWidth="1" min="3" max="3" width="13.25"/>
    <col customWidth="1" min="4" max="4" width="15.13"/>
    <col customWidth="1" min="5" max="5" width="39.13"/>
    <col customWidth="1" min="6" max="6" width="16.63"/>
    <col customWidth="1" min="7" max="7" width="44.0"/>
    <col customWidth="1" min="8" max="8" width="16.75"/>
    <col customWidth="1" min="9" max="9" width="13.0"/>
    <col customWidth="1" min="10" max="10" width="16.13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10</v>
      </c>
      <c r="B2" s="4" t="s">
        <v>11</v>
      </c>
      <c r="C2" s="5">
        <v>1.0</v>
      </c>
      <c r="D2" s="1" t="b">
        <v>0</v>
      </c>
      <c r="E2" s="6"/>
      <c r="F2" s="1" t="b">
        <v>0</v>
      </c>
      <c r="G2" s="6"/>
      <c r="H2" s="1" t="b">
        <v>0</v>
      </c>
      <c r="I2" s="7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10</v>
      </c>
      <c r="B3" s="4" t="s">
        <v>11</v>
      </c>
      <c r="C3" s="5">
        <v>2.0</v>
      </c>
      <c r="D3" s="1" t="b">
        <v>0</v>
      </c>
      <c r="E3" s="6"/>
      <c r="F3" s="1" t="b">
        <v>0</v>
      </c>
      <c r="G3" s="6"/>
      <c r="H3" s="1" t="b">
        <v>0</v>
      </c>
      <c r="I3" s="7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10</v>
      </c>
      <c r="B4" s="4" t="s">
        <v>11</v>
      </c>
      <c r="C4" s="5">
        <v>3.0</v>
      </c>
      <c r="D4" s="1" t="b">
        <v>0</v>
      </c>
      <c r="E4" s="6"/>
      <c r="F4" s="1" t="b">
        <v>0</v>
      </c>
      <c r="G4" s="6"/>
      <c r="H4" s="1" t="b">
        <v>0</v>
      </c>
      <c r="I4" s="7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10</v>
      </c>
      <c r="B5" s="4" t="s">
        <v>11</v>
      </c>
      <c r="C5" s="5">
        <v>4.0</v>
      </c>
      <c r="D5" s="1" t="b">
        <v>0</v>
      </c>
      <c r="E5" s="6"/>
      <c r="F5" s="1" t="b">
        <v>0</v>
      </c>
      <c r="G5" s="6"/>
      <c r="H5" s="1" t="b">
        <v>0</v>
      </c>
      <c r="I5" s="7"/>
      <c r="J5" s="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10</v>
      </c>
      <c r="B6" s="4" t="s">
        <v>11</v>
      </c>
      <c r="C6" s="5">
        <v>5.0</v>
      </c>
      <c r="D6" s="1" t="b">
        <v>0</v>
      </c>
      <c r="E6" s="6"/>
      <c r="F6" s="1" t="b">
        <v>0</v>
      </c>
      <c r="G6" s="6"/>
      <c r="H6" s="1" t="b">
        <v>0</v>
      </c>
      <c r="I6" s="7"/>
      <c r="J6" s="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10</v>
      </c>
      <c r="B7" s="4" t="s">
        <v>11</v>
      </c>
      <c r="C7" s="5">
        <v>6.0</v>
      </c>
      <c r="D7" s="8" t="b">
        <v>0</v>
      </c>
      <c r="E7" s="9"/>
      <c r="F7" s="8" t="b">
        <v>0</v>
      </c>
      <c r="G7" s="9"/>
      <c r="H7" s="8" t="b">
        <v>0</v>
      </c>
      <c r="I7" s="7"/>
      <c r="J7" s="9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10</v>
      </c>
      <c r="B8" s="4" t="s">
        <v>11</v>
      </c>
      <c r="C8" s="5">
        <v>7.0</v>
      </c>
      <c r="D8" s="8" t="b">
        <v>0</v>
      </c>
      <c r="E8" s="9"/>
      <c r="F8" s="8" t="b">
        <v>0</v>
      </c>
      <c r="G8" s="9"/>
      <c r="H8" s="8" t="b">
        <v>0</v>
      </c>
      <c r="I8" s="7"/>
      <c r="J8" s="9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10</v>
      </c>
      <c r="B9" s="10" t="s">
        <v>12</v>
      </c>
      <c r="C9" s="5">
        <v>1.0</v>
      </c>
      <c r="D9" s="8" t="b">
        <v>0</v>
      </c>
      <c r="E9" s="9"/>
      <c r="F9" s="8" t="b">
        <v>0</v>
      </c>
      <c r="G9" s="9"/>
      <c r="H9" s="8" t="b">
        <v>0</v>
      </c>
      <c r="I9" s="7"/>
      <c r="J9" s="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 t="s">
        <v>10</v>
      </c>
      <c r="B10" s="10" t="s">
        <v>12</v>
      </c>
      <c r="C10" s="5">
        <v>2.0</v>
      </c>
      <c r="D10" s="8" t="b">
        <v>0</v>
      </c>
      <c r="E10" s="9"/>
      <c r="F10" s="8" t="b">
        <v>0</v>
      </c>
      <c r="G10" s="9"/>
      <c r="H10" s="8" t="b">
        <v>0</v>
      </c>
      <c r="I10" s="7"/>
      <c r="J10" s="9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 t="s">
        <v>10</v>
      </c>
      <c r="B11" s="10" t="s">
        <v>12</v>
      </c>
      <c r="C11" s="5">
        <v>3.0</v>
      </c>
      <c r="D11" s="8" t="b">
        <v>0</v>
      </c>
      <c r="E11" s="9"/>
      <c r="F11" s="8" t="b">
        <v>0</v>
      </c>
      <c r="G11" s="9"/>
      <c r="H11" s="8" t="b">
        <v>0</v>
      </c>
      <c r="I11" s="7"/>
      <c r="J11" s="9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 t="s">
        <v>10</v>
      </c>
      <c r="B12" s="10" t="s">
        <v>12</v>
      </c>
      <c r="C12" s="5">
        <v>4.0</v>
      </c>
      <c r="D12" s="8" t="b">
        <v>0</v>
      </c>
      <c r="E12" s="9"/>
      <c r="F12" s="8" t="b">
        <v>0</v>
      </c>
      <c r="G12" s="9"/>
      <c r="H12" s="8" t="b">
        <v>0</v>
      </c>
      <c r="I12" s="7"/>
      <c r="J12" s="9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 t="s">
        <v>10</v>
      </c>
      <c r="B13" s="10" t="s">
        <v>12</v>
      </c>
      <c r="C13" s="5">
        <v>5.0</v>
      </c>
      <c r="D13" s="8"/>
      <c r="E13" s="9"/>
      <c r="F13" s="8" t="b">
        <v>0</v>
      </c>
      <c r="G13" s="9"/>
      <c r="H13" s="8" t="b">
        <v>0</v>
      </c>
      <c r="I13" s="7"/>
      <c r="J13" s="9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 t="s">
        <v>10</v>
      </c>
      <c r="B14" s="10" t="s">
        <v>12</v>
      </c>
      <c r="C14" s="5">
        <v>6.0</v>
      </c>
      <c r="D14" s="8" t="b">
        <v>0</v>
      </c>
      <c r="E14" s="9"/>
      <c r="F14" s="8" t="b">
        <v>0</v>
      </c>
      <c r="G14" s="9"/>
      <c r="H14" s="8" t="b">
        <v>0</v>
      </c>
      <c r="I14" s="7"/>
      <c r="J14" s="9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 t="s">
        <v>10</v>
      </c>
      <c r="B15" s="10" t="s">
        <v>12</v>
      </c>
      <c r="C15" s="5">
        <v>7.0</v>
      </c>
      <c r="D15" s="8" t="b">
        <v>0</v>
      </c>
      <c r="E15" s="9"/>
      <c r="F15" s="8" t="b">
        <v>0</v>
      </c>
      <c r="G15" s="9"/>
      <c r="H15" s="8" t="b">
        <v>0</v>
      </c>
      <c r="I15" s="7"/>
      <c r="J15" s="9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 t="s">
        <v>10</v>
      </c>
      <c r="B16" s="10" t="s">
        <v>13</v>
      </c>
      <c r="C16" s="5">
        <v>1.0</v>
      </c>
      <c r="D16" s="8" t="b">
        <v>0</v>
      </c>
      <c r="E16" s="9"/>
      <c r="F16" s="8" t="b">
        <v>0</v>
      </c>
      <c r="G16" s="9"/>
      <c r="H16" s="8" t="b">
        <v>0</v>
      </c>
      <c r="I16" s="7"/>
      <c r="J16" s="9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 t="s">
        <v>10</v>
      </c>
      <c r="B17" s="10" t="s">
        <v>13</v>
      </c>
      <c r="C17" s="5">
        <v>2.0</v>
      </c>
      <c r="D17" s="8" t="b">
        <v>1</v>
      </c>
      <c r="E17" s="8" t="s">
        <v>14</v>
      </c>
      <c r="F17" s="8" t="b">
        <v>0</v>
      </c>
      <c r="G17" s="9"/>
      <c r="H17" s="8" t="b">
        <v>0</v>
      </c>
      <c r="I17" s="7"/>
      <c r="J17" s="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 t="s">
        <v>10</v>
      </c>
      <c r="B18" s="10" t="s">
        <v>13</v>
      </c>
      <c r="C18" s="5">
        <v>3.0</v>
      </c>
      <c r="D18" s="8" t="b">
        <v>1</v>
      </c>
      <c r="E18" s="9"/>
      <c r="F18" s="8" t="b">
        <v>0</v>
      </c>
      <c r="G18" s="8" t="s">
        <v>15</v>
      </c>
      <c r="H18" s="8" t="b">
        <v>0</v>
      </c>
      <c r="I18" s="7"/>
      <c r="J18" s="9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 t="s">
        <v>10</v>
      </c>
      <c r="B19" s="10" t="s">
        <v>13</v>
      </c>
      <c r="C19" s="5">
        <v>4.0</v>
      </c>
      <c r="D19" s="8" t="b">
        <v>1</v>
      </c>
      <c r="E19" s="9"/>
      <c r="F19" s="8" t="b">
        <v>0</v>
      </c>
      <c r="G19" s="8" t="s">
        <v>15</v>
      </c>
      <c r="H19" s="8" t="b">
        <v>0</v>
      </c>
      <c r="I19" s="7"/>
      <c r="J19" s="9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 t="s">
        <v>10</v>
      </c>
      <c r="B20" s="10" t="s">
        <v>13</v>
      </c>
      <c r="C20" s="5">
        <v>5.0</v>
      </c>
      <c r="D20" s="8" t="b">
        <v>0</v>
      </c>
      <c r="E20" s="9"/>
      <c r="F20" s="8" t="b">
        <v>0</v>
      </c>
      <c r="G20" s="9"/>
      <c r="H20" s="8" t="b">
        <v>0</v>
      </c>
      <c r="I20" s="7"/>
      <c r="J20" s="9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 t="s">
        <v>10</v>
      </c>
      <c r="B21" s="10" t="s">
        <v>13</v>
      </c>
      <c r="C21" s="5">
        <v>6.0</v>
      </c>
      <c r="D21" s="8" t="b">
        <v>0</v>
      </c>
      <c r="E21" s="9"/>
      <c r="F21" s="8" t="b">
        <v>0</v>
      </c>
      <c r="G21" s="9"/>
      <c r="H21" s="8" t="b">
        <v>0</v>
      </c>
      <c r="I21" s="7"/>
      <c r="J21" s="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 t="s">
        <v>10</v>
      </c>
      <c r="B22" s="10" t="s">
        <v>13</v>
      </c>
      <c r="C22" s="5">
        <v>7.0</v>
      </c>
      <c r="D22" s="8" t="b">
        <v>0</v>
      </c>
      <c r="E22" s="9"/>
      <c r="F22" s="8" t="b">
        <v>0</v>
      </c>
      <c r="G22" s="9"/>
      <c r="H22" s="8" t="b">
        <v>0</v>
      </c>
      <c r="I22" s="7"/>
      <c r="J22" s="9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 t="s">
        <v>10</v>
      </c>
      <c r="B23" s="10" t="s">
        <v>16</v>
      </c>
      <c r="C23" s="11">
        <v>1.0</v>
      </c>
      <c r="D23" s="8" t="b">
        <v>0</v>
      </c>
      <c r="E23" s="9"/>
      <c r="F23" s="8" t="b">
        <v>0</v>
      </c>
      <c r="G23" s="9"/>
      <c r="H23" s="8" t="b">
        <v>0</v>
      </c>
      <c r="I23" s="7"/>
      <c r="J23" s="9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4" t="s">
        <v>10</v>
      </c>
      <c r="B24" s="10" t="s">
        <v>16</v>
      </c>
      <c r="C24" s="12">
        <v>2.0</v>
      </c>
      <c r="D24" s="8" t="b">
        <v>0</v>
      </c>
      <c r="E24" s="9"/>
      <c r="F24" s="8" t="b">
        <v>0</v>
      </c>
      <c r="G24" s="9"/>
      <c r="H24" s="8" t="b">
        <v>0</v>
      </c>
      <c r="I24" s="7"/>
      <c r="J24" s="9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 t="s">
        <v>10</v>
      </c>
      <c r="B25" s="10" t="s">
        <v>16</v>
      </c>
      <c r="C25" s="11">
        <v>3.0</v>
      </c>
      <c r="D25" s="8" t="b">
        <v>0</v>
      </c>
      <c r="E25" s="9"/>
      <c r="F25" s="8" t="b">
        <v>0</v>
      </c>
      <c r="G25" s="9"/>
      <c r="H25" s="8" t="b">
        <v>0</v>
      </c>
      <c r="I25" s="7"/>
      <c r="J25" s="9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" t="s">
        <v>10</v>
      </c>
      <c r="B26" s="10" t="s">
        <v>16</v>
      </c>
      <c r="C26" s="12">
        <v>4.0</v>
      </c>
      <c r="D26" s="8" t="b">
        <v>0</v>
      </c>
      <c r="E26" s="9"/>
      <c r="F26" s="8" t="b">
        <v>0</v>
      </c>
      <c r="G26" s="9"/>
      <c r="H26" s="8" t="b">
        <v>0</v>
      </c>
      <c r="I26" s="7"/>
      <c r="J26" s="9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4" t="s">
        <v>10</v>
      </c>
      <c r="B27" s="10" t="s">
        <v>16</v>
      </c>
      <c r="C27" s="11">
        <v>5.0</v>
      </c>
      <c r="D27" s="8" t="b">
        <v>0</v>
      </c>
      <c r="E27" s="9"/>
      <c r="F27" s="8" t="b">
        <v>0</v>
      </c>
      <c r="G27" s="9"/>
      <c r="H27" s="8" t="b">
        <v>0</v>
      </c>
      <c r="I27" s="7"/>
      <c r="J27" s="9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4" t="s">
        <v>10</v>
      </c>
      <c r="B28" s="10" t="s">
        <v>16</v>
      </c>
      <c r="C28" s="12">
        <v>6.0</v>
      </c>
      <c r="D28" s="8" t="b">
        <v>0</v>
      </c>
      <c r="E28" s="9"/>
      <c r="F28" s="8" t="b">
        <v>0</v>
      </c>
      <c r="G28" s="9"/>
      <c r="H28" s="8" t="b">
        <v>0</v>
      </c>
      <c r="I28" s="7"/>
      <c r="J28" s="9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4" t="s">
        <v>10</v>
      </c>
      <c r="B29" s="10" t="s">
        <v>16</v>
      </c>
      <c r="C29" s="13">
        <v>7.0</v>
      </c>
      <c r="D29" s="8" t="b">
        <v>0</v>
      </c>
      <c r="E29" s="9"/>
      <c r="F29" s="8" t="b">
        <v>0</v>
      </c>
      <c r="G29" s="9"/>
      <c r="H29" s="8" t="b">
        <v>0</v>
      </c>
      <c r="I29" s="7"/>
      <c r="J29" s="9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4" t="s">
        <v>10</v>
      </c>
      <c r="B30" s="10" t="s">
        <v>17</v>
      </c>
      <c r="C30" s="11">
        <v>1.0</v>
      </c>
      <c r="D30" s="8" t="b">
        <v>0</v>
      </c>
      <c r="E30" s="9"/>
      <c r="F30" s="8" t="b">
        <v>0</v>
      </c>
      <c r="G30" s="9"/>
      <c r="H30" s="8" t="b">
        <v>0</v>
      </c>
      <c r="I30" s="7"/>
      <c r="J30" s="9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4" t="s">
        <v>10</v>
      </c>
      <c r="B31" s="10" t="s">
        <v>17</v>
      </c>
      <c r="C31" s="12">
        <v>2.0</v>
      </c>
      <c r="D31" s="8" t="b">
        <v>1</v>
      </c>
      <c r="E31" s="8" t="s">
        <v>18</v>
      </c>
      <c r="F31" s="8" t="b">
        <v>0</v>
      </c>
      <c r="G31" s="9"/>
      <c r="H31" s="8" t="b">
        <v>0</v>
      </c>
      <c r="I31" s="7"/>
      <c r="J31" s="9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4" t="s">
        <v>10</v>
      </c>
      <c r="B32" s="10" t="s">
        <v>17</v>
      </c>
      <c r="C32" s="11">
        <v>3.0</v>
      </c>
      <c r="D32" s="8" t="b">
        <v>1</v>
      </c>
      <c r="E32" s="8" t="s">
        <v>19</v>
      </c>
      <c r="F32" s="8" t="b">
        <v>0</v>
      </c>
      <c r="G32" s="9"/>
      <c r="H32" s="8" t="b">
        <v>0</v>
      </c>
      <c r="I32" s="7"/>
      <c r="J32" s="9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4" t="s">
        <v>10</v>
      </c>
      <c r="B33" s="10" t="s">
        <v>17</v>
      </c>
      <c r="C33" s="12">
        <v>4.0</v>
      </c>
      <c r="D33" s="8" t="b">
        <v>1</v>
      </c>
      <c r="E33" s="9"/>
      <c r="F33" s="8" t="b">
        <v>0</v>
      </c>
      <c r="G33" s="8" t="s">
        <v>15</v>
      </c>
      <c r="H33" s="8" t="b">
        <v>0</v>
      </c>
      <c r="I33" s="7"/>
      <c r="J33" s="9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4" t="s">
        <v>10</v>
      </c>
      <c r="B34" s="10" t="s">
        <v>17</v>
      </c>
      <c r="C34" s="11">
        <v>5.0</v>
      </c>
      <c r="D34" s="8" t="b">
        <v>0</v>
      </c>
      <c r="E34" s="9"/>
      <c r="F34" s="8" t="b">
        <v>0</v>
      </c>
      <c r="G34" s="9"/>
      <c r="H34" s="8" t="b">
        <v>0</v>
      </c>
      <c r="I34" s="7"/>
      <c r="J34" s="9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4" t="s">
        <v>10</v>
      </c>
      <c r="B35" s="10" t="s">
        <v>17</v>
      </c>
      <c r="C35" s="12">
        <v>6.0</v>
      </c>
      <c r="D35" s="8" t="b">
        <v>0</v>
      </c>
      <c r="E35" s="9"/>
      <c r="F35" s="8" t="b">
        <v>0</v>
      </c>
      <c r="G35" s="9"/>
      <c r="H35" s="8" t="b">
        <v>0</v>
      </c>
      <c r="I35" s="7"/>
      <c r="J35" s="9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4" t="s">
        <v>10</v>
      </c>
      <c r="B36" s="10" t="s">
        <v>17</v>
      </c>
      <c r="C36" s="13">
        <v>7.0</v>
      </c>
      <c r="D36" s="8" t="b">
        <v>0</v>
      </c>
      <c r="E36" s="9"/>
      <c r="F36" s="8" t="b">
        <v>0</v>
      </c>
      <c r="G36" s="9"/>
      <c r="H36" s="8" t="b">
        <v>0</v>
      </c>
      <c r="I36" s="7"/>
      <c r="J36" s="9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4" t="s">
        <v>10</v>
      </c>
      <c r="B37" s="10" t="s">
        <v>20</v>
      </c>
      <c r="C37" s="11">
        <v>1.0</v>
      </c>
      <c r="D37" s="8" t="b">
        <v>1</v>
      </c>
      <c r="E37" s="9"/>
      <c r="F37" s="8" t="b">
        <v>0</v>
      </c>
      <c r="G37" s="8" t="s">
        <v>15</v>
      </c>
      <c r="H37" s="8" t="b">
        <v>0</v>
      </c>
      <c r="I37" s="7"/>
      <c r="J37" s="9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4" t="s">
        <v>10</v>
      </c>
      <c r="B38" s="10" t="s">
        <v>20</v>
      </c>
      <c r="C38" s="12">
        <v>2.0</v>
      </c>
      <c r="D38" s="8" t="b">
        <v>0</v>
      </c>
      <c r="E38" s="9"/>
      <c r="F38" s="8" t="b">
        <v>0</v>
      </c>
      <c r="G38" s="9"/>
      <c r="H38" s="8" t="b">
        <v>0</v>
      </c>
      <c r="I38" s="7"/>
      <c r="J38" s="9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4" t="s">
        <v>10</v>
      </c>
      <c r="B39" s="10" t="s">
        <v>20</v>
      </c>
      <c r="C39" s="11">
        <v>3.0</v>
      </c>
      <c r="D39" s="8" t="b">
        <v>0</v>
      </c>
      <c r="E39" s="9"/>
      <c r="F39" s="8" t="b">
        <v>0</v>
      </c>
      <c r="G39" s="9"/>
      <c r="H39" s="8" t="b">
        <v>0</v>
      </c>
      <c r="I39" s="7"/>
      <c r="J39" s="9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4" t="s">
        <v>10</v>
      </c>
      <c r="B40" s="10" t="s">
        <v>20</v>
      </c>
      <c r="C40" s="12">
        <v>4.0</v>
      </c>
      <c r="D40" s="8" t="b">
        <v>0</v>
      </c>
      <c r="E40" s="9"/>
      <c r="F40" s="8" t="b">
        <v>0</v>
      </c>
      <c r="G40" s="9"/>
      <c r="H40" s="8" t="b">
        <v>0</v>
      </c>
      <c r="I40" s="7"/>
      <c r="J40" s="9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4" t="s">
        <v>10</v>
      </c>
      <c r="B41" s="10" t="s">
        <v>20</v>
      </c>
      <c r="C41" s="11">
        <v>5.0</v>
      </c>
      <c r="D41" s="8" t="b">
        <v>0</v>
      </c>
      <c r="E41" s="9"/>
      <c r="F41" s="8" t="b">
        <v>0</v>
      </c>
      <c r="G41" s="9"/>
      <c r="H41" s="8" t="b">
        <v>0</v>
      </c>
      <c r="I41" s="7"/>
      <c r="J41" s="9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4" t="s">
        <v>10</v>
      </c>
      <c r="B42" s="10" t="s">
        <v>20</v>
      </c>
      <c r="C42" s="12">
        <v>6.0</v>
      </c>
      <c r="D42" s="8" t="b">
        <v>0</v>
      </c>
      <c r="E42" s="9"/>
      <c r="F42" s="8" t="b">
        <v>0</v>
      </c>
      <c r="G42" s="9"/>
      <c r="H42" s="8" t="b">
        <v>0</v>
      </c>
      <c r="I42" s="7"/>
      <c r="J42" s="9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4" t="s">
        <v>10</v>
      </c>
      <c r="B43" s="10" t="s">
        <v>20</v>
      </c>
      <c r="C43" s="13">
        <v>7.0</v>
      </c>
      <c r="D43" s="8" t="b">
        <v>0</v>
      </c>
      <c r="E43" s="9"/>
      <c r="F43" s="8" t="b">
        <v>0</v>
      </c>
      <c r="G43" s="9"/>
      <c r="H43" s="8" t="b">
        <v>0</v>
      </c>
      <c r="I43" s="7"/>
      <c r="J43" s="9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4" t="s">
        <v>10</v>
      </c>
      <c r="B44" s="10" t="s">
        <v>21</v>
      </c>
      <c r="C44" s="11">
        <v>1.0</v>
      </c>
      <c r="D44" s="8" t="b">
        <v>0</v>
      </c>
      <c r="E44" s="9"/>
      <c r="F44" s="8" t="b">
        <v>0</v>
      </c>
      <c r="G44" s="9"/>
      <c r="H44" s="8" t="b">
        <v>0</v>
      </c>
      <c r="I44" s="7"/>
      <c r="J44" s="9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4" t="s">
        <v>10</v>
      </c>
      <c r="B45" s="10" t="s">
        <v>21</v>
      </c>
      <c r="C45" s="12">
        <v>2.0</v>
      </c>
      <c r="D45" s="8" t="b">
        <v>1</v>
      </c>
      <c r="E45" s="8" t="s">
        <v>22</v>
      </c>
      <c r="F45" s="8" t="b">
        <v>0</v>
      </c>
      <c r="G45" s="9"/>
      <c r="H45" s="8" t="b">
        <v>0</v>
      </c>
      <c r="I45" s="7"/>
      <c r="J45" s="9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4" t="s">
        <v>10</v>
      </c>
      <c r="B46" s="10" t="s">
        <v>21</v>
      </c>
      <c r="C46" s="11">
        <v>3.0</v>
      </c>
      <c r="D46" s="8" t="b">
        <v>0</v>
      </c>
      <c r="E46" s="9"/>
      <c r="F46" s="8" t="b">
        <v>0</v>
      </c>
      <c r="G46" s="9"/>
      <c r="H46" s="8" t="b">
        <v>0</v>
      </c>
      <c r="I46" s="7"/>
      <c r="J46" s="9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4" t="s">
        <v>10</v>
      </c>
      <c r="B47" s="10" t="s">
        <v>21</v>
      </c>
      <c r="C47" s="12">
        <v>4.0</v>
      </c>
      <c r="D47" s="8" t="b">
        <v>0</v>
      </c>
      <c r="E47" s="9"/>
      <c r="F47" s="8" t="b">
        <v>0</v>
      </c>
      <c r="G47" s="9"/>
      <c r="H47" s="8" t="b">
        <v>0</v>
      </c>
      <c r="I47" s="7"/>
      <c r="J47" s="9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4" t="s">
        <v>10</v>
      </c>
      <c r="B48" s="10" t="s">
        <v>21</v>
      </c>
      <c r="C48" s="11">
        <v>5.0</v>
      </c>
      <c r="D48" s="8" t="b">
        <v>0</v>
      </c>
      <c r="E48" s="9"/>
      <c r="F48" s="8" t="b">
        <v>0</v>
      </c>
      <c r="G48" s="9"/>
      <c r="H48" s="8" t="b">
        <v>0</v>
      </c>
      <c r="I48" s="7"/>
      <c r="J48" s="9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4" t="s">
        <v>10</v>
      </c>
      <c r="B49" s="10" t="s">
        <v>21</v>
      </c>
      <c r="C49" s="12">
        <v>6.0</v>
      </c>
      <c r="D49" s="8" t="b">
        <v>0</v>
      </c>
      <c r="E49" s="9"/>
      <c r="F49" s="8" t="b">
        <v>0</v>
      </c>
      <c r="G49" s="9"/>
      <c r="H49" s="8" t="b">
        <v>0</v>
      </c>
      <c r="I49" s="7"/>
      <c r="J49" s="9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4" t="s">
        <v>10</v>
      </c>
      <c r="B50" s="10" t="s">
        <v>21</v>
      </c>
      <c r="C50" s="13">
        <v>7.0</v>
      </c>
      <c r="D50" s="8" t="b">
        <v>0</v>
      </c>
      <c r="E50" s="9"/>
      <c r="F50" s="8" t="b">
        <v>0</v>
      </c>
      <c r="G50" s="9"/>
      <c r="H50" s="8" t="b">
        <v>0</v>
      </c>
      <c r="I50" s="7"/>
      <c r="J50" s="9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4" t="s">
        <v>10</v>
      </c>
      <c r="B51" s="10" t="s">
        <v>23</v>
      </c>
      <c r="C51" s="11">
        <v>1.0</v>
      </c>
      <c r="D51" s="8" t="b">
        <v>0</v>
      </c>
      <c r="E51" s="9"/>
      <c r="F51" s="8" t="b">
        <v>0</v>
      </c>
      <c r="G51" s="9"/>
      <c r="H51" s="8" t="b">
        <v>0</v>
      </c>
      <c r="I51" s="7"/>
      <c r="J51" s="9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4" t="s">
        <v>10</v>
      </c>
      <c r="B52" s="10" t="s">
        <v>23</v>
      </c>
      <c r="C52" s="12">
        <v>2.0</v>
      </c>
      <c r="D52" s="8" t="b">
        <v>0</v>
      </c>
      <c r="E52" s="9"/>
      <c r="F52" s="8" t="b">
        <v>0</v>
      </c>
      <c r="G52" s="9"/>
      <c r="H52" s="8" t="b">
        <v>0</v>
      </c>
      <c r="I52" s="7"/>
      <c r="J52" s="9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4" t="s">
        <v>10</v>
      </c>
      <c r="B53" s="10" t="s">
        <v>23</v>
      </c>
      <c r="C53" s="11">
        <v>3.0</v>
      </c>
      <c r="D53" s="8" t="b">
        <v>1</v>
      </c>
      <c r="E53" s="8" t="s">
        <v>24</v>
      </c>
      <c r="F53" s="8" t="b">
        <v>0</v>
      </c>
      <c r="G53" s="9"/>
      <c r="H53" s="8" t="b">
        <v>0</v>
      </c>
      <c r="I53" s="7"/>
      <c r="J53" s="9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4" t="s">
        <v>10</v>
      </c>
      <c r="B54" s="10" t="s">
        <v>23</v>
      </c>
      <c r="C54" s="12">
        <v>4.0</v>
      </c>
      <c r="D54" s="8" t="b">
        <v>1</v>
      </c>
      <c r="E54" s="8" t="s">
        <v>25</v>
      </c>
      <c r="F54" s="8" t="b">
        <v>0</v>
      </c>
      <c r="G54" s="9"/>
      <c r="H54" s="8" t="b">
        <v>0</v>
      </c>
      <c r="I54" s="7"/>
      <c r="J54" s="9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4" t="s">
        <v>10</v>
      </c>
      <c r="B55" s="10" t="s">
        <v>23</v>
      </c>
      <c r="C55" s="11">
        <v>5.0</v>
      </c>
      <c r="D55" s="8" t="b">
        <v>1</v>
      </c>
      <c r="E55" s="9"/>
      <c r="F55" s="8" t="b">
        <v>0</v>
      </c>
      <c r="G55" s="8" t="s">
        <v>15</v>
      </c>
      <c r="H55" s="8" t="b">
        <v>0</v>
      </c>
      <c r="I55" s="7"/>
      <c r="J55" s="9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4" t="s">
        <v>10</v>
      </c>
      <c r="B56" s="10" t="s">
        <v>23</v>
      </c>
      <c r="C56" s="12">
        <v>6.0</v>
      </c>
      <c r="D56" s="8" t="b">
        <v>1</v>
      </c>
      <c r="E56" s="8" t="s">
        <v>26</v>
      </c>
      <c r="F56" s="8" t="b">
        <v>0</v>
      </c>
      <c r="G56" s="9"/>
      <c r="H56" s="8" t="b">
        <v>0</v>
      </c>
      <c r="I56" s="7"/>
      <c r="J56" s="9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4" t="s">
        <v>10</v>
      </c>
      <c r="B57" s="10" t="s">
        <v>23</v>
      </c>
      <c r="C57" s="13">
        <v>7.0</v>
      </c>
      <c r="D57" s="8" t="b">
        <v>1</v>
      </c>
      <c r="E57" s="8" t="s">
        <v>27</v>
      </c>
      <c r="F57" s="8" t="b">
        <v>0</v>
      </c>
      <c r="G57" s="9"/>
      <c r="H57" s="8" t="b">
        <v>0</v>
      </c>
      <c r="I57" s="7"/>
      <c r="J57" s="9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4" t="s">
        <v>10</v>
      </c>
      <c r="B58" s="10" t="s">
        <v>28</v>
      </c>
      <c r="C58" s="11">
        <v>1.0</v>
      </c>
      <c r="D58" s="8" t="b">
        <v>0</v>
      </c>
      <c r="E58" s="9"/>
      <c r="F58" s="8" t="b">
        <v>0</v>
      </c>
      <c r="G58" s="9"/>
      <c r="H58" s="8" t="b">
        <v>0</v>
      </c>
      <c r="I58" s="7"/>
      <c r="J58" s="9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4" t="s">
        <v>10</v>
      </c>
      <c r="B59" s="10" t="s">
        <v>28</v>
      </c>
      <c r="C59" s="12">
        <v>2.0</v>
      </c>
      <c r="D59" s="8" t="b">
        <v>0</v>
      </c>
      <c r="E59" s="9"/>
      <c r="F59" s="8" t="b">
        <v>0</v>
      </c>
      <c r="G59" s="9"/>
      <c r="H59" s="8" t="b">
        <v>0</v>
      </c>
      <c r="I59" s="7"/>
      <c r="J59" s="9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4" t="s">
        <v>10</v>
      </c>
      <c r="B60" s="10" t="s">
        <v>28</v>
      </c>
      <c r="C60" s="11">
        <v>3.0</v>
      </c>
      <c r="D60" s="8" t="b">
        <v>1</v>
      </c>
      <c r="E60" s="8" t="s">
        <v>29</v>
      </c>
      <c r="F60" s="8" t="b">
        <v>0</v>
      </c>
      <c r="G60" s="9"/>
      <c r="H60" s="8" t="b">
        <v>0</v>
      </c>
      <c r="I60" s="7"/>
      <c r="J60" s="9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4" t="s">
        <v>10</v>
      </c>
      <c r="B61" s="10" t="s">
        <v>28</v>
      </c>
      <c r="C61" s="12">
        <v>4.0</v>
      </c>
      <c r="D61" s="8" t="b">
        <v>0</v>
      </c>
      <c r="E61" s="9"/>
      <c r="F61" s="8" t="b">
        <v>0</v>
      </c>
      <c r="G61" s="9"/>
      <c r="H61" s="8" t="b">
        <v>0</v>
      </c>
      <c r="I61" s="7"/>
      <c r="J61" s="9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4" t="s">
        <v>10</v>
      </c>
      <c r="B62" s="10" t="s">
        <v>28</v>
      </c>
      <c r="C62" s="11">
        <v>5.0</v>
      </c>
      <c r="D62" s="8" t="b">
        <v>0</v>
      </c>
      <c r="E62" s="9"/>
      <c r="F62" s="8" t="b">
        <v>0</v>
      </c>
      <c r="G62" s="9"/>
      <c r="H62" s="8" t="b">
        <v>0</v>
      </c>
      <c r="I62" s="7"/>
      <c r="J62" s="9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4" t="s">
        <v>10</v>
      </c>
      <c r="B63" s="10" t="s">
        <v>28</v>
      </c>
      <c r="C63" s="12">
        <v>6.0</v>
      </c>
      <c r="D63" s="8" t="b">
        <v>0</v>
      </c>
      <c r="E63" s="9"/>
      <c r="F63" s="8" t="b">
        <v>0</v>
      </c>
      <c r="G63" s="9"/>
      <c r="H63" s="8" t="b">
        <v>0</v>
      </c>
      <c r="I63" s="7"/>
      <c r="J63" s="9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4" t="s">
        <v>10</v>
      </c>
      <c r="B64" s="10" t="s">
        <v>28</v>
      </c>
      <c r="C64" s="13">
        <v>7.0</v>
      </c>
      <c r="D64" s="8" t="b">
        <v>1</v>
      </c>
      <c r="E64" s="9"/>
      <c r="F64" s="8" t="b">
        <v>0</v>
      </c>
      <c r="G64" s="8" t="s">
        <v>15</v>
      </c>
      <c r="H64" s="8" t="b">
        <v>0</v>
      </c>
      <c r="I64" s="7"/>
      <c r="J64" s="9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4" t="s">
        <v>10</v>
      </c>
      <c r="B65" s="10" t="s">
        <v>30</v>
      </c>
      <c r="C65" s="11">
        <v>1.0</v>
      </c>
      <c r="D65" s="8" t="b">
        <v>1</v>
      </c>
      <c r="E65" s="8" t="s">
        <v>31</v>
      </c>
      <c r="F65" s="8" t="b">
        <v>0</v>
      </c>
      <c r="G65" s="9"/>
      <c r="H65" s="8" t="b">
        <v>0</v>
      </c>
      <c r="I65" s="7"/>
      <c r="J65" s="9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4" t="s">
        <v>10</v>
      </c>
      <c r="B66" s="10" t="s">
        <v>30</v>
      </c>
      <c r="C66" s="12">
        <v>2.0</v>
      </c>
      <c r="D66" s="8" t="b">
        <v>1</v>
      </c>
      <c r="E66" s="8" t="s">
        <v>32</v>
      </c>
      <c r="F66" s="8" t="b">
        <v>0</v>
      </c>
      <c r="G66" s="9"/>
      <c r="H66" s="8" t="b">
        <v>0</v>
      </c>
      <c r="I66" s="7"/>
      <c r="J66" s="9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4" t="s">
        <v>10</v>
      </c>
      <c r="B67" s="10" t="s">
        <v>30</v>
      </c>
      <c r="C67" s="11">
        <v>3.0</v>
      </c>
      <c r="D67" s="8" t="b">
        <v>0</v>
      </c>
      <c r="E67" s="9"/>
      <c r="F67" s="8" t="b">
        <v>0</v>
      </c>
      <c r="G67" s="9"/>
      <c r="H67" s="8" t="b">
        <v>0</v>
      </c>
      <c r="I67" s="7"/>
      <c r="J67" s="9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4" t="s">
        <v>10</v>
      </c>
      <c r="B68" s="10" t="s">
        <v>30</v>
      </c>
      <c r="C68" s="12">
        <v>4.0</v>
      </c>
      <c r="D68" s="8" t="b">
        <v>0</v>
      </c>
      <c r="E68" s="9"/>
      <c r="F68" s="8" t="b">
        <v>0</v>
      </c>
      <c r="G68" s="9"/>
      <c r="H68" s="8" t="b">
        <v>0</v>
      </c>
      <c r="I68" s="7"/>
      <c r="J68" s="9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4" t="s">
        <v>10</v>
      </c>
      <c r="B69" s="10" t="s">
        <v>30</v>
      </c>
      <c r="C69" s="11">
        <v>5.0</v>
      </c>
      <c r="D69" s="8" t="b">
        <v>0</v>
      </c>
      <c r="E69" s="9"/>
      <c r="F69" s="8" t="b">
        <v>0</v>
      </c>
      <c r="G69" s="9"/>
      <c r="H69" s="8" t="b">
        <v>0</v>
      </c>
      <c r="I69" s="7"/>
      <c r="J69" s="9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4" t="s">
        <v>10</v>
      </c>
      <c r="B70" s="10" t="s">
        <v>30</v>
      </c>
      <c r="C70" s="12">
        <v>6.0</v>
      </c>
      <c r="D70" s="8" t="b">
        <v>0</v>
      </c>
      <c r="E70" s="9"/>
      <c r="F70" s="8" t="b">
        <v>0</v>
      </c>
      <c r="G70" s="9"/>
      <c r="H70" s="8" t="b">
        <v>0</v>
      </c>
      <c r="I70" s="7"/>
      <c r="J70" s="9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4" t="s">
        <v>10</v>
      </c>
      <c r="B71" s="10" t="s">
        <v>30</v>
      </c>
      <c r="C71" s="13">
        <v>7.0</v>
      </c>
      <c r="D71" s="8" t="b">
        <v>0</v>
      </c>
      <c r="E71" s="9"/>
      <c r="F71" s="8" t="b">
        <v>0</v>
      </c>
      <c r="G71" s="9"/>
      <c r="H71" s="8" t="b">
        <v>0</v>
      </c>
      <c r="I71" s="7"/>
      <c r="J71" s="9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4" t="s">
        <v>10</v>
      </c>
      <c r="B72" s="10" t="s">
        <v>33</v>
      </c>
      <c r="C72" s="11">
        <v>1.0</v>
      </c>
      <c r="D72" s="8" t="b">
        <v>0</v>
      </c>
      <c r="E72" s="9"/>
      <c r="F72" s="8" t="b">
        <v>0</v>
      </c>
      <c r="G72" s="9"/>
      <c r="H72" s="8" t="b">
        <v>0</v>
      </c>
      <c r="I72" s="7"/>
      <c r="J72" s="9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4" t="s">
        <v>10</v>
      </c>
      <c r="B73" s="10" t="s">
        <v>33</v>
      </c>
      <c r="C73" s="12">
        <v>2.0</v>
      </c>
      <c r="D73" s="8" t="b">
        <v>0</v>
      </c>
      <c r="E73" s="9"/>
      <c r="F73" s="8" t="b">
        <v>0</v>
      </c>
      <c r="G73" s="9"/>
      <c r="H73" s="8" t="b">
        <v>0</v>
      </c>
      <c r="I73" s="7"/>
      <c r="J73" s="9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4" t="s">
        <v>10</v>
      </c>
      <c r="B74" s="10" t="s">
        <v>33</v>
      </c>
      <c r="C74" s="11">
        <v>3.0</v>
      </c>
      <c r="D74" s="8" t="b">
        <v>1</v>
      </c>
      <c r="E74" s="8" t="s">
        <v>25</v>
      </c>
      <c r="F74" s="8" t="b">
        <v>0</v>
      </c>
      <c r="G74" s="9"/>
      <c r="H74" s="8" t="b">
        <v>0</v>
      </c>
      <c r="I74" s="7"/>
      <c r="J74" s="9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4" t="s">
        <v>10</v>
      </c>
      <c r="B75" s="10" t="s">
        <v>33</v>
      </c>
      <c r="C75" s="12">
        <v>4.0</v>
      </c>
      <c r="D75" s="8" t="b">
        <v>0</v>
      </c>
      <c r="E75" s="9"/>
      <c r="F75" s="8" t="b">
        <v>0</v>
      </c>
      <c r="G75" s="9"/>
      <c r="H75" s="8" t="b">
        <v>0</v>
      </c>
      <c r="I75" s="7"/>
      <c r="J75" s="9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4" t="s">
        <v>10</v>
      </c>
      <c r="B76" s="10" t="s">
        <v>33</v>
      </c>
      <c r="C76" s="11">
        <v>5.0</v>
      </c>
      <c r="D76" s="8" t="b">
        <v>0</v>
      </c>
      <c r="E76" s="9"/>
      <c r="F76" s="8" t="b">
        <v>0</v>
      </c>
      <c r="G76" s="9"/>
      <c r="H76" s="8" t="b">
        <v>0</v>
      </c>
      <c r="I76" s="7"/>
      <c r="J76" s="9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4" t="s">
        <v>10</v>
      </c>
      <c r="B77" s="10" t="s">
        <v>33</v>
      </c>
      <c r="C77" s="12">
        <v>6.0</v>
      </c>
      <c r="D77" s="8" t="b">
        <v>0</v>
      </c>
      <c r="E77" s="9"/>
      <c r="F77" s="8" t="b">
        <v>0</v>
      </c>
      <c r="G77" s="9"/>
      <c r="H77" s="8" t="b">
        <v>0</v>
      </c>
      <c r="I77" s="7"/>
      <c r="J77" s="9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4" t="s">
        <v>10</v>
      </c>
      <c r="B78" s="10" t="s">
        <v>33</v>
      </c>
      <c r="C78" s="13">
        <v>7.0</v>
      </c>
      <c r="D78" s="8" t="b">
        <v>1</v>
      </c>
      <c r="E78" s="8" t="s">
        <v>34</v>
      </c>
      <c r="F78" s="8" t="b">
        <v>0</v>
      </c>
      <c r="G78" s="9"/>
      <c r="H78" s="8" t="b">
        <v>0</v>
      </c>
      <c r="I78" s="7"/>
      <c r="J78" s="9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4" t="s">
        <v>10</v>
      </c>
      <c r="B79" s="10" t="s">
        <v>35</v>
      </c>
      <c r="C79" s="11">
        <v>1.0</v>
      </c>
      <c r="D79" s="8" t="b">
        <v>0</v>
      </c>
      <c r="E79" s="8"/>
      <c r="F79" s="8" t="b">
        <v>0</v>
      </c>
      <c r="G79" s="9"/>
      <c r="H79" s="8" t="b">
        <v>0</v>
      </c>
      <c r="I79" s="7"/>
      <c r="J79" s="9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4" t="s">
        <v>10</v>
      </c>
      <c r="B80" s="10" t="s">
        <v>35</v>
      </c>
      <c r="C80" s="12">
        <v>2.0</v>
      </c>
      <c r="D80" s="8" t="b">
        <v>0</v>
      </c>
      <c r="E80" s="8"/>
      <c r="F80" s="8" t="b">
        <v>0</v>
      </c>
      <c r="G80" s="9"/>
      <c r="H80" s="8" t="b">
        <v>0</v>
      </c>
      <c r="I80" s="7"/>
      <c r="J80" s="9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4" t="s">
        <v>10</v>
      </c>
      <c r="B81" s="10" t="s">
        <v>35</v>
      </c>
      <c r="C81" s="11">
        <v>3.0</v>
      </c>
      <c r="D81" s="8" t="b">
        <v>0</v>
      </c>
      <c r="E81" s="8"/>
      <c r="F81" s="8" t="b">
        <v>0</v>
      </c>
      <c r="G81" s="9"/>
      <c r="H81" s="8" t="b">
        <v>0</v>
      </c>
      <c r="I81" s="7"/>
      <c r="J81" s="9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4" t="s">
        <v>10</v>
      </c>
      <c r="B82" s="10" t="s">
        <v>35</v>
      </c>
      <c r="C82" s="12">
        <v>4.0</v>
      </c>
      <c r="D82" s="8" t="b">
        <v>0</v>
      </c>
      <c r="E82" s="8"/>
      <c r="F82" s="8" t="b">
        <v>0</v>
      </c>
      <c r="G82" s="9"/>
      <c r="H82" s="8" t="b">
        <v>0</v>
      </c>
      <c r="I82" s="7"/>
      <c r="J82" s="9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4" t="s">
        <v>10</v>
      </c>
      <c r="B83" s="10" t="s">
        <v>35</v>
      </c>
      <c r="C83" s="11">
        <v>5.0</v>
      </c>
      <c r="D83" s="8" t="b">
        <v>0</v>
      </c>
      <c r="E83" s="8"/>
      <c r="F83" s="8" t="b">
        <v>0</v>
      </c>
      <c r="G83" s="9"/>
      <c r="H83" s="8" t="b">
        <v>0</v>
      </c>
      <c r="I83" s="7"/>
      <c r="J83" s="9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4" t="s">
        <v>10</v>
      </c>
      <c r="B84" s="10" t="s">
        <v>35</v>
      </c>
      <c r="C84" s="12">
        <v>6.0</v>
      </c>
      <c r="D84" s="8" t="b">
        <v>1</v>
      </c>
      <c r="E84" s="8"/>
      <c r="F84" s="8" t="b">
        <v>0</v>
      </c>
      <c r="G84" s="1" t="s">
        <v>15</v>
      </c>
      <c r="H84" s="8" t="b">
        <v>0</v>
      </c>
      <c r="I84" s="7"/>
      <c r="J84" s="9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4" t="s">
        <v>10</v>
      </c>
      <c r="B85" s="10" t="s">
        <v>35</v>
      </c>
      <c r="C85" s="13">
        <v>7.0</v>
      </c>
      <c r="D85" s="8" t="b">
        <v>0</v>
      </c>
      <c r="E85" s="8"/>
      <c r="F85" s="8" t="b">
        <v>0</v>
      </c>
      <c r="G85" s="9"/>
      <c r="H85" s="8" t="b">
        <v>0</v>
      </c>
      <c r="I85" s="7"/>
      <c r="J85" s="9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10" t="s">
        <v>36</v>
      </c>
      <c r="B86" s="4" t="s">
        <v>11</v>
      </c>
      <c r="C86" s="5">
        <v>1.0</v>
      </c>
      <c r="D86" s="8" t="b">
        <v>0</v>
      </c>
      <c r="E86" s="9"/>
      <c r="F86" s="8" t="b">
        <v>0</v>
      </c>
      <c r="G86" s="9"/>
      <c r="H86" s="8" t="b">
        <v>0</v>
      </c>
      <c r="I86" s="7"/>
      <c r="J86" s="9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10" t="s">
        <v>36</v>
      </c>
      <c r="B87" s="4" t="s">
        <v>11</v>
      </c>
      <c r="C87" s="5">
        <v>2.0</v>
      </c>
      <c r="D87" s="8" t="b">
        <v>0</v>
      </c>
      <c r="E87" s="9"/>
      <c r="F87" s="8" t="b">
        <v>0</v>
      </c>
      <c r="G87" s="9"/>
      <c r="H87" s="8" t="b">
        <v>0</v>
      </c>
      <c r="I87" s="7"/>
      <c r="J87" s="9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10" t="s">
        <v>36</v>
      </c>
      <c r="B88" s="4" t="s">
        <v>11</v>
      </c>
      <c r="C88" s="5">
        <v>3.0</v>
      </c>
      <c r="D88" s="8" t="b">
        <v>0</v>
      </c>
      <c r="E88" s="9"/>
      <c r="F88" s="8" t="b">
        <v>0</v>
      </c>
      <c r="G88" s="9"/>
      <c r="H88" s="8" t="b">
        <v>0</v>
      </c>
      <c r="I88" s="7"/>
      <c r="J88" s="9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10" t="s">
        <v>36</v>
      </c>
      <c r="B89" s="4" t="s">
        <v>11</v>
      </c>
      <c r="C89" s="5">
        <v>4.0</v>
      </c>
      <c r="D89" s="8" t="b">
        <v>1</v>
      </c>
      <c r="E89" s="8" t="s">
        <v>37</v>
      </c>
      <c r="F89" s="8" t="b">
        <v>1</v>
      </c>
      <c r="G89" s="8" t="s">
        <v>38</v>
      </c>
      <c r="H89" s="8" t="b">
        <v>0</v>
      </c>
      <c r="I89" s="7"/>
      <c r="J89" s="9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10" t="s">
        <v>36</v>
      </c>
      <c r="B90" s="4" t="s">
        <v>11</v>
      </c>
      <c r="C90" s="5">
        <v>5.0</v>
      </c>
      <c r="D90" s="8" t="b">
        <v>0</v>
      </c>
      <c r="E90" s="9"/>
      <c r="F90" s="8" t="b">
        <v>0</v>
      </c>
      <c r="G90" s="9"/>
      <c r="H90" s="8" t="b">
        <v>0</v>
      </c>
      <c r="I90" s="7"/>
      <c r="J90" s="9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10" t="s">
        <v>36</v>
      </c>
      <c r="B91" s="4" t="s">
        <v>11</v>
      </c>
      <c r="C91" s="5">
        <v>6.0</v>
      </c>
      <c r="D91" s="8" t="b">
        <v>1</v>
      </c>
      <c r="E91" s="8" t="s">
        <v>39</v>
      </c>
      <c r="F91" s="8" t="b">
        <v>1</v>
      </c>
      <c r="G91" s="8" t="s">
        <v>38</v>
      </c>
      <c r="H91" s="8" t="b">
        <v>0</v>
      </c>
      <c r="I91" s="7"/>
      <c r="J91" s="9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10" t="s">
        <v>36</v>
      </c>
      <c r="B92" s="4" t="s">
        <v>11</v>
      </c>
      <c r="C92" s="5">
        <v>7.0</v>
      </c>
      <c r="D92" s="8" t="b">
        <v>0</v>
      </c>
      <c r="E92" s="9"/>
      <c r="F92" s="8" t="b">
        <v>0</v>
      </c>
      <c r="G92" s="9"/>
      <c r="H92" s="8" t="b">
        <v>0</v>
      </c>
      <c r="I92" s="7"/>
      <c r="J92" s="9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10" t="s">
        <v>36</v>
      </c>
      <c r="B93" s="10" t="s">
        <v>12</v>
      </c>
      <c r="C93" s="5">
        <v>1.0</v>
      </c>
      <c r="D93" s="8" t="b">
        <v>0</v>
      </c>
      <c r="E93" s="9"/>
      <c r="F93" s="8" t="b">
        <v>0</v>
      </c>
      <c r="G93" s="9"/>
      <c r="H93" s="8" t="b">
        <v>0</v>
      </c>
      <c r="I93" s="7"/>
      <c r="J93" s="9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10" t="s">
        <v>36</v>
      </c>
      <c r="B94" s="10" t="s">
        <v>12</v>
      </c>
      <c r="C94" s="5">
        <v>2.0</v>
      </c>
      <c r="D94" s="8" t="b">
        <v>0</v>
      </c>
      <c r="E94" s="9"/>
      <c r="F94" s="8" t="b">
        <v>0</v>
      </c>
      <c r="G94" s="9"/>
      <c r="H94" s="8" t="b">
        <v>0</v>
      </c>
      <c r="I94" s="7"/>
      <c r="J94" s="9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10" t="s">
        <v>36</v>
      </c>
      <c r="B95" s="10" t="s">
        <v>12</v>
      </c>
      <c r="C95" s="5">
        <v>3.0</v>
      </c>
      <c r="D95" s="8" t="b">
        <v>0</v>
      </c>
      <c r="E95" s="9"/>
      <c r="F95" s="8" t="b">
        <v>0</v>
      </c>
      <c r="G95" s="9"/>
      <c r="H95" s="8" t="b">
        <v>0</v>
      </c>
      <c r="I95" s="7"/>
      <c r="J95" s="9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10" t="s">
        <v>36</v>
      </c>
      <c r="B96" s="10" t="s">
        <v>12</v>
      </c>
      <c r="C96" s="5">
        <v>4.0</v>
      </c>
      <c r="D96" s="8" t="b">
        <v>0</v>
      </c>
      <c r="E96" s="9"/>
      <c r="F96" s="8" t="b">
        <v>0</v>
      </c>
      <c r="G96" s="9"/>
      <c r="H96" s="8" t="b">
        <v>0</v>
      </c>
      <c r="I96" s="7"/>
      <c r="J96" s="9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10" t="s">
        <v>36</v>
      </c>
      <c r="B97" s="10" t="s">
        <v>12</v>
      </c>
      <c r="C97" s="5">
        <v>5.0</v>
      </c>
      <c r="D97" s="8" t="b">
        <v>0</v>
      </c>
      <c r="E97" s="9"/>
      <c r="F97" s="8" t="b">
        <v>0</v>
      </c>
      <c r="G97" s="9"/>
      <c r="H97" s="8" t="b">
        <v>0</v>
      </c>
      <c r="I97" s="7"/>
      <c r="J97" s="9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10" t="s">
        <v>36</v>
      </c>
      <c r="B98" s="10" t="s">
        <v>12</v>
      </c>
      <c r="C98" s="5">
        <v>6.0</v>
      </c>
      <c r="D98" s="8" t="b">
        <v>1</v>
      </c>
      <c r="E98" s="8" t="s">
        <v>40</v>
      </c>
      <c r="F98" s="8" t="b">
        <v>1</v>
      </c>
      <c r="G98" s="8" t="s">
        <v>41</v>
      </c>
      <c r="H98" s="8" t="b">
        <v>0</v>
      </c>
      <c r="I98" s="7"/>
      <c r="J98" s="9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10" t="s">
        <v>36</v>
      </c>
      <c r="B99" s="10" t="s">
        <v>12</v>
      </c>
      <c r="C99" s="5">
        <v>7.0</v>
      </c>
      <c r="D99" s="8" t="b">
        <v>0</v>
      </c>
      <c r="E99" s="9"/>
      <c r="F99" s="8" t="b">
        <v>0</v>
      </c>
      <c r="G99" s="9"/>
      <c r="H99" s="8" t="b">
        <v>0</v>
      </c>
      <c r="I99" s="7"/>
      <c r="J99" s="9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10" t="s">
        <v>36</v>
      </c>
      <c r="B100" s="10" t="s">
        <v>13</v>
      </c>
      <c r="C100" s="5">
        <v>1.0</v>
      </c>
      <c r="D100" s="8" t="b">
        <v>0</v>
      </c>
      <c r="E100" s="9"/>
      <c r="F100" s="8" t="b">
        <v>0</v>
      </c>
      <c r="G100" s="9"/>
      <c r="H100" s="8" t="b">
        <v>0</v>
      </c>
      <c r="I100" s="7"/>
      <c r="J100" s="9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10" t="s">
        <v>36</v>
      </c>
      <c r="B101" s="10" t="s">
        <v>13</v>
      </c>
      <c r="C101" s="5">
        <v>2.0</v>
      </c>
      <c r="D101" s="8" t="b">
        <v>0</v>
      </c>
      <c r="E101" s="9"/>
      <c r="F101" s="8" t="b">
        <v>0</v>
      </c>
      <c r="G101" s="9"/>
      <c r="H101" s="8" t="b">
        <v>0</v>
      </c>
      <c r="I101" s="7"/>
      <c r="J101" s="9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10" t="s">
        <v>36</v>
      </c>
      <c r="B102" s="10" t="s">
        <v>13</v>
      </c>
      <c r="C102" s="5">
        <v>3.0</v>
      </c>
      <c r="D102" s="8" t="b">
        <v>0</v>
      </c>
      <c r="E102" s="9"/>
      <c r="F102" s="8" t="b">
        <v>0</v>
      </c>
      <c r="G102" s="9"/>
      <c r="H102" s="8" t="b">
        <v>0</v>
      </c>
      <c r="I102" s="7"/>
      <c r="J102" s="9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10" t="s">
        <v>36</v>
      </c>
      <c r="B103" s="10" t="s">
        <v>13</v>
      </c>
      <c r="C103" s="5">
        <v>4.0</v>
      </c>
      <c r="D103" s="8" t="b">
        <v>0</v>
      </c>
      <c r="E103" s="9"/>
      <c r="F103" s="8" t="b">
        <v>0</v>
      </c>
      <c r="G103" s="9"/>
      <c r="H103" s="8" t="b">
        <v>0</v>
      </c>
      <c r="I103" s="7"/>
      <c r="J103" s="9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10" t="s">
        <v>36</v>
      </c>
      <c r="B104" s="10" t="s">
        <v>13</v>
      </c>
      <c r="C104" s="5">
        <v>5.0</v>
      </c>
      <c r="D104" s="8" t="b">
        <v>0</v>
      </c>
      <c r="E104" s="9"/>
      <c r="F104" s="8" t="b">
        <v>0</v>
      </c>
      <c r="G104" s="9"/>
      <c r="H104" s="8" t="b">
        <v>0</v>
      </c>
      <c r="I104" s="7"/>
      <c r="J104" s="9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10" t="s">
        <v>36</v>
      </c>
      <c r="B105" s="10" t="s">
        <v>13</v>
      </c>
      <c r="C105" s="5">
        <v>6.0</v>
      </c>
      <c r="D105" s="8" t="b">
        <v>0</v>
      </c>
      <c r="E105" s="9"/>
      <c r="F105" s="8" t="b">
        <v>0</v>
      </c>
      <c r="G105" s="9"/>
      <c r="H105" s="8" t="b">
        <v>0</v>
      </c>
      <c r="I105" s="7"/>
      <c r="J105" s="9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10" t="s">
        <v>36</v>
      </c>
      <c r="B106" s="10" t="s">
        <v>13</v>
      </c>
      <c r="C106" s="5">
        <v>7.0</v>
      </c>
      <c r="D106" s="8" t="b">
        <v>0</v>
      </c>
      <c r="E106" s="9"/>
      <c r="F106" s="8" t="b">
        <v>0</v>
      </c>
      <c r="G106" s="9"/>
      <c r="H106" s="8" t="b">
        <v>0</v>
      </c>
      <c r="I106" s="7"/>
      <c r="J106" s="9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10" t="s">
        <v>36</v>
      </c>
      <c r="B107" s="10" t="s">
        <v>16</v>
      </c>
      <c r="C107" s="11">
        <v>1.0</v>
      </c>
      <c r="D107" s="8" t="b">
        <v>0</v>
      </c>
      <c r="E107" s="9"/>
      <c r="F107" s="8" t="b">
        <v>0</v>
      </c>
      <c r="G107" s="9"/>
      <c r="H107" s="8" t="b">
        <v>0</v>
      </c>
      <c r="I107" s="7"/>
      <c r="J107" s="9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10" t="s">
        <v>36</v>
      </c>
      <c r="B108" s="10" t="s">
        <v>16</v>
      </c>
      <c r="C108" s="12">
        <v>2.0</v>
      </c>
      <c r="D108" s="8" t="b">
        <v>0</v>
      </c>
      <c r="E108" s="9"/>
      <c r="F108" s="8" t="b">
        <v>0</v>
      </c>
      <c r="G108" s="9"/>
      <c r="H108" s="8" t="b">
        <v>0</v>
      </c>
      <c r="I108" s="7"/>
      <c r="J108" s="9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10" t="s">
        <v>36</v>
      </c>
      <c r="B109" s="10" t="s">
        <v>16</v>
      </c>
      <c r="C109" s="11">
        <v>3.0</v>
      </c>
      <c r="D109" s="8" t="b">
        <v>1</v>
      </c>
      <c r="E109" s="8" t="s">
        <v>42</v>
      </c>
      <c r="F109" s="8" t="b">
        <v>1</v>
      </c>
      <c r="G109" s="8" t="s">
        <v>43</v>
      </c>
      <c r="H109" s="8" t="b">
        <v>0</v>
      </c>
      <c r="I109" s="7"/>
      <c r="J109" s="9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10" t="s">
        <v>36</v>
      </c>
      <c r="B110" s="10" t="s">
        <v>16</v>
      </c>
      <c r="C110" s="12">
        <v>4.0</v>
      </c>
      <c r="D110" s="8" t="b">
        <v>0</v>
      </c>
      <c r="E110" s="9"/>
      <c r="F110" s="8" t="b">
        <v>0</v>
      </c>
      <c r="G110" s="9"/>
      <c r="H110" s="8" t="b">
        <v>0</v>
      </c>
      <c r="I110" s="7"/>
      <c r="J110" s="9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10" t="s">
        <v>36</v>
      </c>
      <c r="B111" s="10" t="s">
        <v>16</v>
      </c>
      <c r="C111" s="11">
        <v>5.0</v>
      </c>
      <c r="D111" s="8" t="b">
        <v>0</v>
      </c>
      <c r="E111" s="9"/>
      <c r="F111" s="8" t="b">
        <v>0</v>
      </c>
      <c r="G111" s="9"/>
      <c r="H111" s="8" t="b">
        <v>0</v>
      </c>
      <c r="I111" s="7"/>
      <c r="J111" s="9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10" t="s">
        <v>36</v>
      </c>
      <c r="B112" s="10" t="s">
        <v>16</v>
      </c>
      <c r="C112" s="12">
        <v>6.0</v>
      </c>
      <c r="D112" s="8" t="b">
        <v>0</v>
      </c>
      <c r="E112" s="9"/>
      <c r="F112" s="8" t="b">
        <v>0</v>
      </c>
      <c r="G112" s="9"/>
      <c r="H112" s="8" t="b">
        <v>0</v>
      </c>
      <c r="I112" s="7"/>
      <c r="J112" s="9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10" t="s">
        <v>36</v>
      </c>
      <c r="B113" s="10" t="s">
        <v>16</v>
      </c>
      <c r="C113" s="13">
        <v>7.0</v>
      </c>
      <c r="D113" s="8" t="b">
        <v>1</v>
      </c>
      <c r="E113" s="8" t="s">
        <v>44</v>
      </c>
      <c r="F113" s="8" t="b">
        <v>1</v>
      </c>
      <c r="G113" s="8" t="s">
        <v>45</v>
      </c>
      <c r="H113" s="8" t="b">
        <v>0</v>
      </c>
      <c r="I113" s="7"/>
      <c r="J113" s="9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10" t="s">
        <v>36</v>
      </c>
      <c r="B114" s="10" t="s">
        <v>17</v>
      </c>
      <c r="C114" s="11">
        <v>1.0</v>
      </c>
      <c r="D114" s="8" t="b">
        <v>0</v>
      </c>
      <c r="E114" s="9"/>
      <c r="F114" s="8" t="b">
        <v>0</v>
      </c>
      <c r="G114" s="9"/>
      <c r="H114" s="8" t="b">
        <v>0</v>
      </c>
      <c r="I114" s="7"/>
      <c r="J114" s="9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10" t="s">
        <v>36</v>
      </c>
      <c r="B115" s="10" t="s">
        <v>17</v>
      </c>
      <c r="C115" s="12">
        <v>2.0</v>
      </c>
      <c r="D115" s="8" t="b">
        <v>1</v>
      </c>
      <c r="E115" s="8" t="s">
        <v>46</v>
      </c>
      <c r="F115" s="8" t="b">
        <v>1</v>
      </c>
      <c r="G115" s="8" t="s">
        <v>47</v>
      </c>
      <c r="H115" s="8" t="b">
        <v>0</v>
      </c>
      <c r="I115" s="7"/>
      <c r="J115" s="9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10" t="s">
        <v>36</v>
      </c>
      <c r="B116" s="10" t="s">
        <v>17</v>
      </c>
      <c r="C116" s="11">
        <v>3.0</v>
      </c>
      <c r="D116" s="8" t="b">
        <v>0</v>
      </c>
      <c r="E116" s="9"/>
      <c r="F116" s="8" t="b">
        <v>0</v>
      </c>
      <c r="G116" s="9"/>
      <c r="H116" s="8" t="b">
        <v>0</v>
      </c>
      <c r="I116" s="7"/>
      <c r="J116" s="9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10" t="s">
        <v>36</v>
      </c>
      <c r="B117" s="10" t="s">
        <v>17</v>
      </c>
      <c r="C117" s="12">
        <v>4.0</v>
      </c>
      <c r="D117" s="8" t="b">
        <v>1</v>
      </c>
      <c r="E117" s="8" t="s">
        <v>48</v>
      </c>
      <c r="F117" s="8" t="b">
        <v>1</v>
      </c>
      <c r="G117" s="8" t="s">
        <v>49</v>
      </c>
      <c r="H117" s="8" t="b">
        <v>0</v>
      </c>
      <c r="I117" s="7"/>
      <c r="J117" s="9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10" t="s">
        <v>36</v>
      </c>
      <c r="B118" s="10" t="s">
        <v>17</v>
      </c>
      <c r="C118" s="11">
        <v>5.0</v>
      </c>
      <c r="D118" s="8" t="b">
        <v>0</v>
      </c>
      <c r="E118" s="9"/>
      <c r="F118" s="8" t="b">
        <v>0</v>
      </c>
      <c r="G118" s="9"/>
      <c r="H118" s="8" t="b">
        <v>0</v>
      </c>
      <c r="I118" s="7"/>
      <c r="J118" s="9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10" t="s">
        <v>36</v>
      </c>
      <c r="B119" s="10" t="s">
        <v>17</v>
      </c>
      <c r="C119" s="12">
        <v>6.0</v>
      </c>
      <c r="D119" s="8" t="b">
        <v>0</v>
      </c>
      <c r="E119" s="9"/>
      <c r="F119" s="8" t="b">
        <v>0</v>
      </c>
      <c r="G119" s="9"/>
      <c r="H119" s="8" t="b">
        <v>0</v>
      </c>
      <c r="I119" s="7"/>
      <c r="J119" s="9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10" t="s">
        <v>36</v>
      </c>
      <c r="B120" s="10" t="s">
        <v>17</v>
      </c>
      <c r="C120" s="13">
        <v>7.0</v>
      </c>
      <c r="D120" s="8" t="b">
        <v>0</v>
      </c>
      <c r="E120" s="9"/>
      <c r="F120" s="8" t="b">
        <v>0</v>
      </c>
      <c r="G120" s="9"/>
      <c r="H120" s="8" t="b">
        <v>0</v>
      </c>
      <c r="I120" s="7"/>
      <c r="J120" s="9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10" t="s">
        <v>36</v>
      </c>
      <c r="B121" s="10" t="s">
        <v>20</v>
      </c>
      <c r="C121" s="11">
        <v>1.0</v>
      </c>
      <c r="D121" s="8" t="b">
        <v>0</v>
      </c>
      <c r="E121" s="9"/>
      <c r="F121" s="8" t="b">
        <v>0</v>
      </c>
      <c r="G121" s="9"/>
      <c r="H121" s="8" t="b">
        <v>0</v>
      </c>
      <c r="I121" s="7"/>
      <c r="J121" s="9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10" t="s">
        <v>36</v>
      </c>
      <c r="B122" s="10" t="s">
        <v>20</v>
      </c>
      <c r="C122" s="12">
        <v>2.0</v>
      </c>
      <c r="D122" s="8" t="b">
        <v>0</v>
      </c>
      <c r="E122" s="9"/>
      <c r="F122" s="8" t="b">
        <v>0</v>
      </c>
      <c r="G122" s="9"/>
      <c r="H122" s="8" t="b">
        <v>0</v>
      </c>
      <c r="I122" s="7"/>
      <c r="J122" s="9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10" t="s">
        <v>36</v>
      </c>
      <c r="B123" s="10" t="s">
        <v>20</v>
      </c>
      <c r="C123" s="11">
        <v>3.0</v>
      </c>
      <c r="D123" s="8" t="b">
        <v>0</v>
      </c>
      <c r="E123" s="9"/>
      <c r="F123" s="8" t="b">
        <v>0</v>
      </c>
      <c r="G123" s="9"/>
      <c r="H123" s="8" t="b">
        <v>0</v>
      </c>
      <c r="I123" s="7"/>
      <c r="J123" s="9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10" t="s">
        <v>36</v>
      </c>
      <c r="B124" s="10" t="s">
        <v>20</v>
      </c>
      <c r="C124" s="12">
        <v>4.0</v>
      </c>
      <c r="D124" s="8" t="b">
        <v>0</v>
      </c>
      <c r="E124" s="9"/>
      <c r="F124" s="8" t="b">
        <v>0</v>
      </c>
      <c r="G124" s="9"/>
      <c r="H124" s="8" t="b">
        <v>0</v>
      </c>
      <c r="I124" s="7"/>
      <c r="J124" s="9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10" t="s">
        <v>36</v>
      </c>
      <c r="B125" s="10" t="s">
        <v>20</v>
      </c>
      <c r="C125" s="11">
        <v>5.0</v>
      </c>
      <c r="D125" s="8" t="b">
        <v>0</v>
      </c>
      <c r="E125" s="9"/>
      <c r="F125" s="8" t="b">
        <v>0</v>
      </c>
      <c r="G125" s="9"/>
      <c r="H125" s="8" t="b">
        <v>0</v>
      </c>
      <c r="I125" s="7"/>
      <c r="J125" s="9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10" t="s">
        <v>36</v>
      </c>
      <c r="B126" s="10" t="s">
        <v>20</v>
      </c>
      <c r="C126" s="12">
        <v>6.0</v>
      </c>
      <c r="D126" s="8" t="b">
        <v>0</v>
      </c>
      <c r="E126" s="9"/>
      <c r="F126" s="8" t="b">
        <v>0</v>
      </c>
      <c r="G126" s="9"/>
      <c r="H126" s="8" t="b">
        <v>0</v>
      </c>
      <c r="I126" s="7"/>
      <c r="J126" s="9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10" t="s">
        <v>36</v>
      </c>
      <c r="B127" s="10" t="s">
        <v>20</v>
      </c>
      <c r="C127" s="13">
        <v>7.0</v>
      </c>
      <c r="D127" s="8" t="b">
        <v>0</v>
      </c>
      <c r="E127" s="9"/>
      <c r="F127" s="8" t="b">
        <v>0</v>
      </c>
      <c r="G127" s="9"/>
      <c r="H127" s="8" t="b">
        <v>0</v>
      </c>
      <c r="I127" s="7"/>
      <c r="J127" s="9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10" t="s">
        <v>36</v>
      </c>
      <c r="B128" s="10" t="s">
        <v>21</v>
      </c>
      <c r="C128" s="11">
        <v>1.0</v>
      </c>
      <c r="D128" s="8" t="b">
        <v>0</v>
      </c>
      <c r="E128" s="9"/>
      <c r="F128" s="8" t="b">
        <v>0</v>
      </c>
      <c r="G128" s="9"/>
      <c r="H128" s="8" t="b">
        <v>0</v>
      </c>
      <c r="I128" s="7"/>
      <c r="J128" s="9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10" t="s">
        <v>36</v>
      </c>
      <c r="B129" s="10" t="s">
        <v>21</v>
      </c>
      <c r="C129" s="12">
        <v>2.0</v>
      </c>
      <c r="D129" s="8" t="b">
        <v>0</v>
      </c>
      <c r="E129" s="9"/>
      <c r="F129" s="8" t="b">
        <v>0</v>
      </c>
      <c r="G129" s="9"/>
      <c r="H129" s="8" t="b">
        <v>0</v>
      </c>
      <c r="I129" s="7"/>
      <c r="J129" s="9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10" t="s">
        <v>36</v>
      </c>
      <c r="B130" s="10" t="s">
        <v>21</v>
      </c>
      <c r="C130" s="11">
        <v>3.0</v>
      </c>
      <c r="D130" s="8" t="b">
        <v>0</v>
      </c>
      <c r="E130" s="9"/>
      <c r="F130" s="8" t="b">
        <v>0</v>
      </c>
      <c r="G130" s="9"/>
      <c r="H130" s="8" t="b">
        <v>0</v>
      </c>
      <c r="I130" s="7"/>
      <c r="J130" s="9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10" t="s">
        <v>36</v>
      </c>
      <c r="B131" s="10" t="s">
        <v>21</v>
      </c>
      <c r="C131" s="12">
        <v>4.0</v>
      </c>
      <c r="D131" s="8" t="b">
        <v>0</v>
      </c>
      <c r="E131" s="9"/>
      <c r="F131" s="8" t="b">
        <v>0</v>
      </c>
      <c r="G131" s="9"/>
      <c r="H131" s="8" t="b">
        <v>0</v>
      </c>
      <c r="I131" s="7"/>
      <c r="J131" s="9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10" t="s">
        <v>36</v>
      </c>
      <c r="B132" s="10" t="s">
        <v>21</v>
      </c>
      <c r="C132" s="11">
        <v>5.0</v>
      </c>
      <c r="D132" s="8" t="b">
        <v>0</v>
      </c>
      <c r="E132" s="9"/>
      <c r="F132" s="8" t="b">
        <v>0</v>
      </c>
      <c r="G132" s="9"/>
      <c r="H132" s="8" t="b">
        <v>0</v>
      </c>
      <c r="I132" s="7"/>
      <c r="J132" s="9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10" t="s">
        <v>36</v>
      </c>
      <c r="B133" s="10" t="s">
        <v>21</v>
      </c>
      <c r="C133" s="12">
        <v>6.0</v>
      </c>
      <c r="D133" s="8" t="b">
        <v>0</v>
      </c>
      <c r="E133" s="9"/>
      <c r="F133" s="8" t="b">
        <v>0</v>
      </c>
      <c r="G133" s="9"/>
      <c r="H133" s="8" t="b">
        <v>0</v>
      </c>
      <c r="I133" s="7"/>
      <c r="J133" s="9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10" t="s">
        <v>36</v>
      </c>
      <c r="B134" s="10" t="s">
        <v>21</v>
      </c>
      <c r="C134" s="13">
        <v>7.0</v>
      </c>
      <c r="D134" s="8" t="b">
        <v>0</v>
      </c>
      <c r="E134" s="9"/>
      <c r="F134" s="8" t="b">
        <v>0</v>
      </c>
      <c r="G134" s="9"/>
      <c r="H134" s="8" t="b">
        <v>0</v>
      </c>
      <c r="I134" s="7"/>
      <c r="J134" s="9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10" t="s">
        <v>36</v>
      </c>
      <c r="B135" s="10" t="s">
        <v>23</v>
      </c>
      <c r="C135" s="11">
        <v>1.0</v>
      </c>
      <c r="D135" s="8" t="b">
        <v>1</v>
      </c>
      <c r="E135" s="8" t="s">
        <v>50</v>
      </c>
      <c r="F135" s="14"/>
      <c r="G135" s="8" t="s">
        <v>51</v>
      </c>
      <c r="H135" s="8" t="b">
        <v>0</v>
      </c>
      <c r="I135" s="7"/>
      <c r="J135" s="9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10" t="s">
        <v>36</v>
      </c>
      <c r="B136" s="10" t="s">
        <v>23</v>
      </c>
      <c r="C136" s="12">
        <v>2.0</v>
      </c>
      <c r="D136" s="8" t="b">
        <v>0</v>
      </c>
      <c r="E136" s="9"/>
      <c r="F136" s="8" t="b">
        <v>0</v>
      </c>
      <c r="G136" s="9"/>
      <c r="H136" s="8" t="b">
        <v>0</v>
      </c>
      <c r="I136" s="7"/>
      <c r="J136" s="9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10" t="s">
        <v>36</v>
      </c>
      <c r="B137" s="10" t="s">
        <v>23</v>
      </c>
      <c r="C137" s="11">
        <v>3.0</v>
      </c>
      <c r="D137" s="8" t="b">
        <v>0</v>
      </c>
      <c r="E137" s="9"/>
      <c r="F137" s="8" t="b">
        <v>0</v>
      </c>
      <c r="G137" s="9"/>
      <c r="H137" s="8" t="b">
        <v>0</v>
      </c>
      <c r="I137" s="7"/>
      <c r="J137" s="9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10" t="s">
        <v>36</v>
      </c>
      <c r="B138" s="10" t="s">
        <v>23</v>
      </c>
      <c r="C138" s="12">
        <v>4.0</v>
      </c>
      <c r="D138" s="8" t="b">
        <v>0</v>
      </c>
      <c r="E138" s="9"/>
      <c r="F138" s="8" t="b">
        <v>0</v>
      </c>
      <c r="G138" s="9"/>
      <c r="H138" s="8" t="b">
        <v>0</v>
      </c>
      <c r="I138" s="7"/>
      <c r="J138" s="9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10" t="s">
        <v>36</v>
      </c>
      <c r="B139" s="10" t="s">
        <v>23</v>
      </c>
      <c r="C139" s="11">
        <v>5.0</v>
      </c>
      <c r="D139" s="8" t="b">
        <v>0</v>
      </c>
      <c r="E139" s="9"/>
      <c r="F139" s="8" t="b">
        <v>0</v>
      </c>
      <c r="G139" s="9"/>
      <c r="H139" s="8" t="b">
        <v>0</v>
      </c>
      <c r="I139" s="7"/>
      <c r="J139" s="9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10" t="s">
        <v>36</v>
      </c>
      <c r="B140" s="10" t="s">
        <v>23</v>
      </c>
      <c r="C140" s="12">
        <v>6.0</v>
      </c>
      <c r="D140" s="8" t="b">
        <v>0</v>
      </c>
      <c r="E140" s="9"/>
      <c r="F140" s="8" t="b">
        <v>0</v>
      </c>
      <c r="G140" s="9"/>
      <c r="H140" s="8" t="b">
        <v>0</v>
      </c>
      <c r="I140" s="7"/>
      <c r="J140" s="9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10" t="s">
        <v>36</v>
      </c>
      <c r="B141" s="10" t="s">
        <v>23</v>
      </c>
      <c r="C141" s="13">
        <v>7.0</v>
      </c>
      <c r="D141" s="8" t="b">
        <v>0</v>
      </c>
      <c r="E141" s="9"/>
      <c r="F141" s="8" t="b">
        <v>0</v>
      </c>
      <c r="G141" s="9"/>
      <c r="H141" s="8" t="b">
        <v>0</v>
      </c>
      <c r="I141" s="7"/>
      <c r="J141" s="9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10" t="s">
        <v>36</v>
      </c>
      <c r="B142" s="10" t="s">
        <v>28</v>
      </c>
      <c r="C142" s="11">
        <v>1.0</v>
      </c>
      <c r="D142" s="8" t="b">
        <v>0</v>
      </c>
      <c r="E142" s="9"/>
      <c r="F142" s="8" t="b">
        <v>0</v>
      </c>
      <c r="G142" s="9"/>
      <c r="H142" s="8" t="b">
        <v>0</v>
      </c>
      <c r="I142" s="7"/>
      <c r="J142" s="9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10" t="s">
        <v>36</v>
      </c>
      <c r="B143" s="10" t="s">
        <v>28</v>
      </c>
      <c r="C143" s="12">
        <v>2.0</v>
      </c>
      <c r="D143" s="8" t="b">
        <v>0</v>
      </c>
      <c r="E143" s="9"/>
      <c r="F143" s="8" t="b">
        <v>0</v>
      </c>
      <c r="G143" s="9"/>
      <c r="H143" s="8" t="b">
        <v>0</v>
      </c>
      <c r="I143" s="7"/>
      <c r="J143" s="9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10" t="s">
        <v>36</v>
      </c>
      <c r="B144" s="10" t="s">
        <v>28</v>
      </c>
      <c r="C144" s="11">
        <v>3.0</v>
      </c>
      <c r="D144" s="8" t="b">
        <v>0</v>
      </c>
      <c r="E144" s="9"/>
      <c r="F144" s="8" t="b">
        <v>0</v>
      </c>
      <c r="G144" s="9"/>
      <c r="H144" s="8" t="b">
        <v>0</v>
      </c>
      <c r="I144" s="7"/>
      <c r="J144" s="9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10" t="s">
        <v>36</v>
      </c>
      <c r="B145" s="10" t="s">
        <v>28</v>
      </c>
      <c r="C145" s="12">
        <v>4.0</v>
      </c>
      <c r="D145" s="8" t="b">
        <v>0</v>
      </c>
      <c r="E145" s="9"/>
      <c r="F145" s="8" t="b">
        <v>0</v>
      </c>
      <c r="G145" s="9"/>
      <c r="H145" s="8" t="b">
        <v>0</v>
      </c>
      <c r="I145" s="7"/>
      <c r="J145" s="9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10" t="s">
        <v>36</v>
      </c>
      <c r="B146" s="10" t="s">
        <v>28</v>
      </c>
      <c r="C146" s="11">
        <v>5.0</v>
      </c>
      <c r="D146" s="8" t="b">
        <v>0</v>
      </c>
      <c r="E146" s="9"/>
      <c r="F146" s="8" t="b">
        <v>0</v>
      </c>
      <c r="G146" s="9"/>
      <c r="H146" s="8" t="b">
        <v>0</v>
      </c>
      <c r="I146" s="7"/>
      <c r="J146" s="9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10" t="s">
        <v>36</v>
      </c>
      <c r="B147" s="10" t="s">
        <v>28</v>
      </c>
      <c r="C147" s="12">
        <v>6.0</v>
      </c>
      <c r="D147" s="8" t="b">
        <v>0</v>
      </c>
      <c r="E147" s="9"/>
      <c r="F147" s="8" t="b">
        <v>0</v>
      </c>
      <c r="G147" s="9"/>
      <c r="H147" s="8" t="b">
        <v>0</v>
      </c>
      <c r="I147" s="7"/>
      <c r="J147" s="9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10" t="s">
        <v>36</v>
      </c>
      <c r="B148" s="10" t="s">
        <v>28</v>
      </c>
      <c r="C148" s="13">
        <v>7.0</v>
      </c>
      <c r="D148" s="8" t="b">
        <v>0</v>
      </c>
      <c r="E148" s="9"/>
      <c r="F148" s="8" t="b">
        <v>0</v>
      </c>
      <c r="G148" s="9"/>
      <c r="H148" s="8" t="b">
        <v>0</v>
      </c>
      <c r="I148" s="7"/>
      <c r="J148" s="9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10" t="s">
        <v>36</v>
      </c>
      <c r="B149" s="10" t="s">
        <v>30</v>
      </c>
      <c r="C149" s="11">
        <v>1.0</v>
      </c>
      <c r="D149" s="8" t="b">
        <v>0</v>
      </c>
      <c r="E149" s="9"/>
      <c r="F149" s="8" t="b">
        <v>0</v>
      </c>
      <c r="G149" s="9"/>
      <c r="H149" s="8" t="b">
        <v>0</v>
      </c>
      <c r="I149" s="7"/>
      <c r="J149" s="9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10" t="s">
        <v>36</v>
      </c>
      <c r="B150" s="10" t="s">
        <v>30</v>
      </c>
      <c r="C150" s="12">
        <v>2.0</v>
      </c>
      <c r="D150" s="8" t="b">
        <v>0</v>
      </c>
      <c r="E150" s="9"/>
      <c r="F150" s="8" t="b">
        <v>0</v>
      </c>
      <c r="G150" s="9"/>
      <c r="H150" s="8" t="b">
        <v>0</v>
      </c>
      <c r="I150" s="7"/>
      <c r="J150" s="9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10" t="s">
        <v>36</v>
      </c>
      <c r="B151" s="10" t="s">
        <v>30</v>
      </c>
      <c r="C151" s="11">
        <v>3.0</v>
      </c>
      <c r="D151" s="8" t="b">
        <v>0</v>
      </c>
      <c r="E151" s="9"/>
      <c r="F151" s="8" t="b">
        <v>0</v>
      </c>
      <c r="G151" s="9"/>
      <c r="H151" s="8" t="b">
        <v>0</v>
      </c>
      <c r="I151" s="7"/>
      <c r="J151" s="9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10" t="s">
        <v>36</v>
      </c>
      <c r="B152" s="10" t="s">
        <v>30</v>
      </c>
      <c r="C152" s="12">
        <v>4.0</v>
      </c>
      <c r="D152" s="8" t="b">
        <v>0</v>
      </c>
      <c r="E152" s="9"/>
      <c r="F152" s="8" t="b">
        <v>0</v>
      </c>
      <c r="G152" s="9"/>
      <c r="H152" s="8" t="b">
        <v>0</v>
      </c>
      <c r="I152" s="7"/>
      <c r="J152" s="9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10" t="s">
        <v>36</v>
      </c>
      <c r="B153" s="10" t="s">
        <v>30</v>
      </c>
      <c r="C153" s="11">
        <v>5.0</v>
      </c>
      <c r="D153" s="8" t="b">
        <v>1</v>
      </c>
      <c r="E153" s="8" t="s">
        <v>52</v>
      </c>
      <c r="F153" s="8" t="b">
        <v>1</v>
      </c>
      <c r="G153" s="8" t="s">
        <v>53</v>
      </c>
      <c r="H153" s="8" t="b">
        <v>0</v>
      </c>
      <c r="I153" s="7"/>
      <c r="J153" s="9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15"/>
      <c r="B154" s="15"/>
      <c r="C154" s="16"/>
      <c r="D154" s="8" t="b">
        <v>0</v>
      </c>
      <c r="E154" s="8"/>
      <c r="F154" s="8" t="b">
        <v>0</v>
      </c>
      <c r="G154" s="8" t="s">
        <v>15</v>
      </c>
      <c r="H154" s="8" t="b">
        <v>0</v>
      </c>
      <c r="I154" s="7"/>
      <c r="J154" s="9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10" t="s">
        <v>36</v>
      </c>
      <c r="B155" s="10" t="s">
        <v>30</v>
      </c>
      <c r="C155" s="12">
        <v>6.0</v>
      </c>
      <c r="D155" s="8" t="b">
        <v>1</v>
      </c>
      <c r="E155" s="9"/>
      <c r="F155" s="8" t="b">
        <v>0</v>
      </c>
      <c r="G155" s="9"/>
      <c r="H155" s="8" t="b">
        <v>0</v>
      </c>
      <c r="I155" s="7"/>
      <c r="J155" s="9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10" t="s">
        <v>36</v>
      </c>
      <c r="B156" s="10" t="s">
        <v>30</v>
      </c>
      <c r="C156" s="13">
        <v>7.0</v>
      </c>
      <c r="D156" s="8" t="b">
        <v>0</v>
      </c>
      <c r="E156" s="9"/>
      <c r="F156" s="8" t="b">
        <v>0</v>
      </c>
      <c r="G156" s="9"/>
      <c r="H156" s="8" t="b">
        <v>0</v>
      </c>
      <c r="I156" s="7"/>
      <c r="J156" s="9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10" t="s">
        <v>36</v>
      </c>
      <c r="B157" s="10" t="s">
        <v>33</v>
      </c>
      <c r="C157" s="11">
        <v>1.0</v>
      </c>
      <c r="D157" s="8" t="b">
        <v>0</v>
      </c>
      <c r="E157" s="9"/>
      <c r="F157" s="8" t="b">
        <v>0</v>
      </c>
      <c r="G157" s="9"/>
      <c r="H157" s="8" t="b">
        <v>0</v>
      </c>
      <c r="I157" s="7"/>
      <c r="J157" s="9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10" t="s">
        <v>36</v>
      </c>
      <c r="B158" s="10" t="s">
        <v>33</v>
      </c>
      <c r="C158" s="12">
        <v>2.0</v>
      </c>
      <c r="D158" s="8" t="b">
        <v>0</v>
      </c>
      <c r="E158" s="9"/>
      <c r="F158" s="8" t="b">
        <v>0</v>
      </c>
      <c r="G158" s="9"/>
      <c r="H158" s="8" t="b">
        <v>0</v>
      </c>
      <c r="I158" s="7"/>
      <c r="J158" s="9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10" t="s">
        <v>36</v>
      </c>
      <c r="B159" s="10" t="s">
        <v>33</v>
      </c>
      <c r="C159" s="11">
        <v>3.0</v>
      </c>
      <c r="D159" s="8" t="b">
        <v>0</v>
      </c>
      <c r="E159" s="9"/>
      <c r="F159" s="8" t="b">
        <v>0</v>
      </c>
      <c r="G159" s="9"/>
      <c r="H159" s="8" t="b">
        <v>0</v>
      </c>
      <c r="I159" s="7"/>
      <c r="J159" s="9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10" t="s">
        <v>36</v>
      </c>
      <c r="B160" s="10" t="s">
        <v>33</v>
      </c>
      <c r="C160" s="12">
        <v>4.0</v>
      </c>
      <c r="D160" s="8" t="b">
        <v>0</v>
      </c>
      <c r="E160" s="9"/>
      <c r="F160" s="8" t="b">
        <v>0</v>
      </c>
      <c r="G160" s="9"/>
      <c r="H160" s="8" t="b">
        <v>0</v>
      </c>
      <c r="I160" s="7"/>
      <c r="J160" s="9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10" t="s">
        <v>36</v>
      </c>
      <c r="B161" s="10" t="s">
        <v>33</v>
      </c>
      <c r="C161" s="11">
        <v>5.0</v>
      </c>
      <c r="D161" s="8" t="b">
        <v>0</v>
      </c>
      <c r="E161" s="9"/>
      <c r="F161" s="8" t="b">
        <v>0</v>
      </c>
      <c r="G161" s="9"/>
      <c r="H161" s="8" t="b">
        <v>0</v>
      </c>
      <c r="I161" s="7"/>
      <c r="J161" s="9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10" t="s">
        <v>36</v>
      </c>
      <c r="B162" s="10" t="s">
        <v>33</v>
      </c>
      <c r="C162" s="12">
        <v>6.0</v>
      </c>
      <c r="D162" s="8" t="b">
        <v>0</v>
      </c>
      <c r="E162" s="9"/>
      <c r="F162" s="8" t="b">
        <v>0</v>
      </c>
      <c r="G162" s="9"/>
      <c r="H162" s="8" t="b">
        <v>0</v>
      </c>
      <c r="I162" s="7"/>
      <c r="J162" s="9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10" t="s">
        <v>36</v>
      </c>
      <c r="B163" s="10" t="s">
        <v>33</v>
      </c>
      <c r="C163" s="13">
        <v>7.0</v>
      </c>
      <c r="D163" s="8" t="b">
        <v>0</v>
      </c>
      <c r="E163" s="9"/>
      <c r="F163" s="8" t="b">
        <v>0</v>
      </c>
      <c r="G163" s="9"/>
      <c r="H163" s="8" t="b">
        <v>0</v>
      </c>
      <c r="I163" s="7"/>
      <c r="J163" s="9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10" t="s">
        <v>54</v>
      </c>
      <c r="B164" s="17" t="s">
        <v>11</v>
      </c>
      <c r="C164" s="18">
        <v>1.0</v>
      </c>
      <c r="D164" s="8" t="b">
        <v>0</v>
      </c>
      <c r="E164" s="9"/>
      <c r="F164" s="8" t="b">
        <v>0</v>
      </c>
      <c r="G164" s="9"/>
      <c r="H164" s="8" t="b">
        <v>0</v>
      </c>
      <c r="I164" s="7"/>
      <c r="J164" s="9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10" t="s">
        <v>54</v>
      </c>
      <c r="B165" s="19" t="s">
        <v>11</v>
      </c>
      <c r="C165" s="20">
        <v>2.0</v>
      </c>
      <c r="D165" s="8" t="b">
        <v>0</v>
      </c>
      <c r="E165" s="9"/>
      <c r="F165" s="8" t="b">
        <v>0</v>
      </c>
      <c r="G165" s="9"/>
      <c r="H165" s="8" t="b">
        <v>0</v>
      </c>
      <c r="I165" s="7"/>
      <c r="J165" s="9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10" t="s">
        <v>54</v>
      </c>
      <c r="B166" s="21" t="s">
        <v>11</v>
      </c>
      <c r="C166" s="22">
        <v>3.0</v>
      </c>
      <c r="D166" s="8" t="b">
        <v>0</v>
      </c>
      <c r="E166" s="9"/>
      <c r="F166" s="8" t="b">
        <v>0</v>
      </c>
      <c r="G166" s="9"/>
      <c r="H166" s="8" t="b">
        <v>0</v>
      </c>
      <c r="I166" s="7"/>
      <c r="J166" s="9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10" t="s">
        <v>54</v>
      </c>
      <c r="B167" s="19" t="s">
        <v>11</v>
      </c>
      <c r="C167" s="20">
        <v>4.0</v>
      </c>
      <c r="D167" s="8" t="b">
        <v>0</v>
      </c>
      <c r="E167" s="9"/>
      <c r="F167" s="8" t="b">
        <v>0</v>
      </c>
      <c r="G167" s="9"/>
      <c r="H167" s="8" t="b">
        <v>0</v>
      </c>
      <c r="I167" s="7"/>
      <c r="J167" s="9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10" t="s">
        <v>54</v>
      </c>
      <c r="B168" s="21" t="s">
        <v>11</v>
      </c>
      <c r="C168" s="22">
        <v>5.0</v>
      </c>
      <c r="D168" s="8" t="b">
        <v>1</v>
      </c>
      <c r="E168" s="8" t="s">
        <v>55</v>
      </c>
      <c r="F168" s="8" t="b">
        <v>0</v>
      </c>
      <c r="G168" s="9"/>
      <c r="H168" s="8" t="b">
        <v>0</v>
      </c>
      <c r="I168" s="7"/>
      <c r="J168" s="9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10" t="s">
        <v>54</v>
      </c>
      <c r="B169" s="19" t="s">
        <v>11</v>
      </c>
      <c r="C169" s="20">
        <v>6.0</v>
      </c>
      <c r="D169" s="8" t="b">
        <v>0</v>
      </c>
      <c r="E169" s="9"/>
      <c r="F169" s="8" t="b">
        <v>0</v>
      </c>
      <c r="G169" s="9"/>
      <c r="H169" s="8" t="b">
        <v>0</v>
      </c>
      <c r="I169" s="7"/>
      <c r="J169" s="9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10" t="s">
        <v>54</v>
      </c>
      <c r="B170" s="21" t="s">
        <v>11</v>
      </c>
      <c r="C170" s="22">
        <v>7.0</v>
      </c>
      <c r="D170" s="8" t="b">
        <v>0</v>
      </c>
      <c r="E170" s="9"/>
      <c r="F170" s="8" t="b">
        <v>0</v>
      </c>
      <c r="G170" s="9"/>
      <c r="H170" s="8" t="b">
        <v>0</v>
      </c>
      <c r="I170" s="7"/>
      <c r="J170" s="9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10" t="s">
        <v>54</v>
      </c>
      <c r="B171" s="23" t="s">
        <v>12</v>
      </c>
      <c r="C171" s="20">
        <v>1.0</v>
      </c>
      <c r="D171" s="8" t="b">
        <v>0</v>
      </c>
      <c r="E171" s="9"/>
      <c r="F171" s="8" t="b">
        <v>0</v>
      </c>
      <c r="G171" s="9"/>
      <c r="H171" s="8" t="b">
        <v>0</v>
      </c>
      <c r="I171" s="7"/>
      <c r="J171" s="9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10" t="s">
        <v>54</v>
      </c>
      <c r="B172" s="24" t="s">
        <v>12</v>
      </c>
      <c r="C172" s="22">
        <v>2.0</v>
      </c>
      <c r="D172" s="8" t="b">
        <v>0</v>
      </c>
      <c r="E172" s="9"/>
      <c r="F172" s="8" t="b">
        <v>0</v>
      </c>
      <c r="G172" s="9"/>
      <c r="H172" s="8" t="b">
        <v>0</v>
      </c>
      <c r="I172" s="7"/>
      <c r="J172" s="9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10" t="s">
        <v>54</v>
      </c>
      <c r="B173" s="23" t="s">
        <v>12</v>
      </c>
      <c r="C173" s="20">
        <v>3.0</v>
      </c>
      <c r="D173" s="8" t="b">
        <v>0</v>
      </c>
      <c r="E173" s="9"/>
      <c r="F173" s="8" t="b">
        <v>0</v>
      </c>
      <c r="G173" s="9"/>
      <c r="H173" s="8" t="b">
        <v>0</v>
      </c>
      <c r="I173" s="7"/>
      <c r="J173" s="9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10" t="s">
        <v>54</v>
      </c>
      <c r="B174" s="24" t="s">
        <v>12</v>
      </c>
      <c r="C174" s="22">
        <v>4.0</v>
      </c>
      <c r="D174" s="8" t="b">
        <v>1</v>
      </c>
      <c r="E174" s="9"/>
      <c r="F174" s="8" t="b">
        <v>0</v>
      </c>
      <c r="G174" s="25" t="s">
        <v>15</v>
      </c>
      <c r="H174" s="8" t="b">
        <v>0</v>
      </c>
      <c r="I174" s="7"/>
      <c r="J174" s="9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10" t="s">
        <v>54</v>
      </c>
      <c r="B175" s="23" t="s">
        <v>12</v>
      </c>
      <c r="C175" s="20">
        <v>5.0</v>
      </c>
      <c r="D175" s="8" t="b">
        <v>1</v>
      </c>
      <c r="E175" s="9"/>
      <c r="F175" s="8" t="b">
        <v>0</v>
      </c>
      <c r="G175" s="25" t="s">
        <v>15</v>
      </c>
      <c r="H175" s="8" t="b">
        <v>0</v>
      </c>
      <c r="I175" s="7"/>
      <c r="J175" s="9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10" t="s">
        <v>54</v>
      </c>
      <c r="B176" s="24" t="s">
        <v>12</v>
      </c>
      <c r="C176" s="22">
        <v>6.0</v>
      </c>
      <c r="D176" s="8" t="b">
        <v>1</v>
      </c>
      <c r="E176" s="8" t="s">
        <v>56</v>
      </c>
      <c r="F176" s="8" t="b">
        <v>0</v>
      </c>
      <c r="G176" s="9"/>
      <c r="H176" s="8" t="b">
        <v>0</v>
      </c>
      <c r="I176" s="7"/>
      <c r="J176" s="9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10" t="s">
        <v>54</v>
      </c>
      <c r="B177" s="23" t="s">
        <v>12</v>
      </c>
      <c r="C177" s="20">
        <v>7.0</v>
      </c>
      <c r="D177" s="8" t="b">
        <v>0</v>
      </c>
      <c r="E177" s="9"/>
      <c r="F177" s="8" t="b">
        <v>0</v>
      </c>
      <c r="G177" s="9"/>
      <c r="H177" s="8" t="b">
        <v>0</v>
      </c>
      <c r="I177" s="7"/>
      <c r="J177" s="9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10" t="s">
        <v>54</v>
      </c>
      <c r="B178" s="26" t="s">
        <v>13</v>
      </c>
      <c r="C178" s="22">
        <v>1.0</v>
      </c>
      <c r="D178" s="8" t="b">
        <v>0</v>
      </c>
      <c r="E178" s="9"/>
      <c r="F178" s="8" t="b">
        <v>0</v>
      </c>
      <c r="G178" s="9"/>
      <c r="H178" s="8" t="b">
        <v>0</v>
      </c>
      <c r="I178" s="7"/>
      <c r="J178" s="9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10" t="s">
        <v>54</v>
      </c>
      <c r="B179" s="27" t="s">
        <v>13</v>
      </c>
      <c r="C179" s="20">
        <v>2.0</v>
      </c>
      <c r="D179" s="8" t="b">
        <v>0</v>
      </c>
      <c r="E179" s="9"/>
      <c r="F179" s="8" t="b">
        <v>0</v>
      </c>
      <c r="G179" s="9"/>
      <c r="H179" s="8" t="b">
        <v>0</v>
      </c>
      <c r="I179" s="7"/>
      <c r="J179" s="9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10" t="s">
        <v>54</v>
      </c>
      <c r="B180" s="26" t="s">
        <v>13</v>
      </c>
      <c r="C180" s="22">
        <v>3.0</v>
      </c>
      <c r="D180" s="8" t="b">
        <v>0</v>
      </c>
      <c r="E180" s="9"/>
      <c r="F180" s="8" t="b">
        <v>0</v>
      </c>
      <c r="G180" s="9"/>
      <c r="H180" s="8" t="b">
        <v>0</v>
      </c>
      <c r="I180" s="7"/>
      <c r="J180" s="9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10" t="s">
        <v>54</v>
      </c>
      <c r="B181" s="27" t="s">
        <v>13</v>
      </c>
      <c r="C181" s="20">
        <v>4.0</v>
      </c>
      <c r="D181" s="8" t="b">
        <v>0</v>
      </c>
      <c r="E181" s="9"/>
      <c r="F181" s="8" t="b">
        <v>0</v>
      </c>
      <c r="G181" s="9"/>
      <c r="H181" s="8" t="b">
        <v>0</v>
      </c>
      <c r="I181" s="7"/>
      <c r="J181" s="9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10" t="s">
        <v>54</v>
      </c>
      <c r="B182" s="26" t="s">
        <v>13</v>
      </c>
      <c r="C182" s="22">
        <v>5.0</v>
      </c>
      <c r="D182" s="8" t="b">
        <v>1</v>
      </c>
      <c r="E182" s="9"/>
      <c r="F182" s="8" t="b">
        <v>0</v>
      </c>
      <c r="G182" s="25" t="s">
        <v>15</v>
      </c>
      <c r="H182" s="8" t="b">
        <v>0</v>
      </c>
      <c r="I182" s="7"/>
      <c r="J182" s="9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10" t="s">
        <v>54</v>
      </c>
      <c r="B183" s="27" t="s">
        <v>13</v>
      </c>
      <c r="C183" s="20">
        <v>6.0</v>
      </c>
      <c r="D183" s="8" t="b">
        <v>1</v>
      </c>
      <c r="E183" s="9"/>
      <c r="F183" s="8" t="b">
        <v>0</v>
      </c>
      <c r="G183" s="25" t="s">
        <v>15</v>
      </c>
      <c r="H183" s="8" t="b">
        <v>0</v>
      </c>
      <c r="I183" s="7"/>
      <c r="J183" s="9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10" t="s">
        <v>54</v>
      </c>
      <c r="B184" s="26" t="s">
        <v>13</v>
      </c>
      <c r="C184" s="22">
        <v>7.0</v>
      </c>
      <c r="D184" s="8" t="b">
        <v>0</v>
      </c>
      <c r="E184" s="9"/>
      <c r="F184" s="8" t="b">
        <v>0</v>
      </c>
      <c r="G184" s="9"/>
      <c r="H184" s="8" t="b">
        <v>0</v>
      </c>
      <c r="I184" s="7"/>
      <c r="J184" s="9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10" t="s">
        <v>54</v>
      </c>
      <c r="B185" s="28" t="s">
        <v>16</v>
      </c>
      <c r="C185" s="20">
        <v>1.0</v>
      </c>
      <c r="D185" s="8" t="b">
        <v>0</v>
      </c>
      <c r="E185" s="9"/>
      <c r="F185" s="8" t="b">
        <v>0</v>
      </c>
      <c r="G185" s="9"/>
      <c r="H185" s="8" t="b">
        <v>0</v>
      </c>
      <c r="I185" s="7"/>
      <c r="J185" s="9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10" t="s">
        <v>54</v>
      </c>
      <c r="B186" s="29" t="s">
        <v>16</v>
      </c>
      <c r="C186" s="22">
        <v>2.0</v>
      </c>
      <c r="D186" s="8" t="b">
        <v>0</v>
      </c>
      <c r="E186" s="9"/>
      <c r="F186" s="8" t="b">
        <v>0</v>
      </c>
      <c r="G186" s="9"/>
      <c r="H186" s="8" t="b">
        <v>0</v>
      </c>
      <c r="I186" s="7"/>
      <c r="J186" s="9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10" t="s">
        <v>54</v>
      </c>
      <c r="B187" s="28" t="s">
        <v>16</v>
      </c>
      <c r="C187" s="20">
        <v>3.0</v>
      </c>
      <c r="D187" s="8" t="b">
        <v>0</v>
      </c>
      <c r="E187" s="9"/>
      <c r="F187" s="8" t="b">
        <v>0</v>
      </c>
      <c r="G187" s="9"/>
      <c r="H187" s="8" t="b">
        <v>0</v>
      </c>
      <c r="I187" s="7"/>
      <c r="J187" s="9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10" t="s">
        <v>54</v>
      </c>
      <c r="B188" s="29" t="s">
        <v>16</v>
      </c>
      <c r="C188" s="22">
        <v>4.0</v>
      </c>
      <c r="D188" s="8" t="b">
        <v>0</v>
      </c>
      <c r="E188" s="9"/>
      <c r="F188" s="8" t="b">
        <v>0</v>
      </c>
      <c r="G188" s="9"/>
      <c r="H188" s="8" t="b">
        <v>0</v>
      </c>
      <c r="I188" s="7"/>
      <c r="J188" s="9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10" t="s">
        <v>54</v>
      </c>
      <c r="B189" s="28" t="s">
        <v>16</v>
      </c>
      <c r="C189" s="20">
        <v>5.0</v>
      </c>
      <c r="D189" s="8" t="b">
        <v>1</v>
      </c>
      <c r="E189" s="9"/>
      <c r="F189" s="8" t="b">
        <v>0</v>
      </c>
      <c r="G189" s="25" t="s">
        <v>15</v>
      </c>
      <c r="H189" s="8" t="b">
        <v>0</v>
      </c>
      <c r="I189" s="7"/>
      <c r="J189" s="9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10" t="s">
        <v>54</v>
      </c>
      <c r="B190" s="29" t="s">
        <v>16</v>
      </c>
      <c r="C190" s="22">
        <v>6.0</v>
      </c>
      <c r="D190" s="8" t="b">
        <v>0</v>
      </c>
      <c r="E190" s="9"/>
      <c r="F190" s="8" t="b">
        <v>0</v>
      </c>
      <c r="G190" s="9"/>
      <c r="H190" s="8" t="b">
        <v>0</v>
      </c>
      <c r="I190" s="7"/>
      <c r="J190" s="9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10" t="s">
        <v>54</v>
      </c>
      <c r="B191" s="28" t="s">
        <v>16</v>
      </c>
      <c r="C191" s="30">
        <v>7.0</v>
      </c>
      <c r="D191" s="8" t="b">
        <v>0</v>
      </c>
      <c r="E191" s="9"/>
      <c r="F191" s="8" t="b">
        <v>0</v>
      </c>
      <c r="G191" s="9"/>
      <c r="H191" s="8" t="b">
        <v>0</v>
      </c>
      <c r="I191" s="7"/>
      <c r="J191" s="9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10" t="s">
        <v>54</v>
      </c>
      <c r="B192" s="31" t="s">
        <v>17</v>
      </c>
      <c r="C192" s="32">
        <v>1.0</v>
      </c>
      <c r="D192" s="8" t="b">
        <v>0</v>
      </c>
      <c r="E192" s="9"/>
      <c r="F192" s="8" t="b">
        <v>0</v>
      </c>
      <c r="G192" s="9"/>
      <c r="H192" s="8" t="b">
        <v>0</v>
      </c>
      <c r="I192" s="7"/>
      <c r="J192" s="9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10" t="s">
        <v>54</v>
      </c>
      <c r="B193" s="33" t="s">
        <v>17</v>
      </c>
      <c r="C193" s="20">
        <v>2.0</v>
      </c>
      <c r="D193" s="8" t="b">
        <v>0</v>
      </c>
      <c r="E193" s="9"/>
      <c r="F193" s="8" t="b">
        <v>0</v>
      </c>
      <c r="G193" s="9"/>
      <c r="H193" s="8" t="b">
        <v>0</v>
      </c>
      <c r="I193" s="7"/>
      <c r="J193" s="9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10" t="s">
        <v>54</v>
      </c>
      <c r="B194" s="31" t="s">
        <v>17</v>
      </c>
      <c r="C194" s="32">
        <v>3.0</v>
      </c>
      <c r="D194" s="8" t="b">
        <v>0</v>
      </c>
      <c r="E194" s="9"/>
      <c r="F194" s="8" t="b">
        <v>0</v>
      </c>
      <c r="G194" s="9"/>
      <c r="H194" s="8" t="b">
        <v>0</v>
      </c>
      <c r="I194" s="7"/>
      <c r="J194" s="9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10" t="s">
        <v>54</v>
      </c>
      <c r="B195" s="33" t="s">
        <v>17</v>
      </c>
      <c r="C195" s="20">
        <v>4.0</v>
      </c>
      <c r="D195" s="8" t="b">
        <v>0</v>
      </c>
      <c r="E195" s="9"/>
      <c r="F195" s="8" t="b">
        <v>0</v>
      </c>
      <c r="G195" s="9"/>
      <c r="H195" s="8" t="b">
        <v>0</v>
      </c>
      <c r="I195" s="7"/>
      <c r="J195" s="9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10" t="s">
        <v>54</v>
      </c>
      <c r="B196" s="31" t="s">
        <v>17</v>
      </c>
      <c r="C196" s="32">
        <v>5.0</v>
      </c>
      <c r="D196" s="8" t="b">
        <v>0</v>
      </c>
      <c r="E196" s="34"/>
      <c r="F196" s="8" t="b">
        <v>0</v>
      </c>
      <c r="G196" s="9"/>
      <c r="H196" s="8" t="b">
        <v>0</v>
      </c>
      <c r="I196" s="7"/>
      <c r="J196" s="9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10" t="s">
        <v>54</v>
      </c>
      <c r="B197" s="33" t="s">
        <v>17</v>
      </c>
      <c r="C197" s="20">
        <v>6.0</v>
      </c>
      <c r="D197" s="8" t="b">
        <v>0</v>
      </c>
      <c r="E197" s="9"/>
      <c r="F197" s="8" t="b">
        <v>0</v>
      </c>
      <c r="G197" s="9"/>
      <c r="H197" s="8" t="b">
        <v>0</v>
      </c>
      <c r="I197" s="7"/>
      <c r="J197" s="9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10" t="s">
        <v>54</v>
      </c>
      <c r="B198" s="31" t="s">
        <v>17</v>
      </c>
      <c r="C198" s="35">
        <v>7.0</v>
      </c>
      <c r="D198" s="8" t="b">
        <v>1</v>
      </c>
      <c r="E198" s="9"/>
      <c r="F198" s="8" t="b">
        <v>0</v>
      </c>
      <c r="G198" s="25" t="s">
        <v>15</v>
      </c>
      <c r="H198" s="8" t="b">
        <v>0</v>
      </c>
      <c r="I198" s="7"/>
      <c r="J198" s="9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10" t="s">
        <v>54</v>
      </c>
      <c r="B199" s="36" t="s">
        <v>20</v>
      </c>
      <c r="C199" s="20">
        <v>1.0</v>
      </c>
      <c r="D199" s="8" t="b">
        <v>0</v>
      </c>
      <c r="E199" s="9"/>
      <c r="F199" s="8" t="b">
        <v>0</v>
      </c>
      <c r="G199" s="9"/>
      <c r="H199" s="8" t="b">
        <v>0</v>
      </c>
      <c r="I199" s="7"/>
      <c r="J199" s="9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10" t="s">
        <v>54</v>
      </c>
      <c r="B200" s="37" t="s">
        <v>20</v>
      </c>
      <c r="C200" s="22">
        <v>2.0</v>
      </c>
      <c r="D200" s="8" t="b">
        <v>0</v>
      </c>
      <c r="E200" s="9"/>
      <c r="F200" s="8" t="b">
        <v>0</v>
      </c>
      <c r="G200" s="9"/>
      <c r="H200" s="8" t="b">
        <v>0</v>
      </c>
      <c r="I200" s="7"/>
      <c r="J200" s="9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10" t="s">
        <v>54</v>
      </c>
      <c r="B201" s="36" t="s">
        <v>20</v>
      </c>
      <c r="C201" s="20">
        <v>3.0</v>
      </c>
      <c r="D201" s="8" t="b">
        <v>0</v>
      </c>
      <c r="E201" s="9"/>
      <c r="F201" s="8" t="b">
        <v>0</v>
      </c>
      <c r="G201" s="9"/>
      <c r="H201" s="8" t="b">
        <v>0</v>
      </c>
      <c r="I201" s="7"/>
      <c r="J201" s="9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10" t="s">
        <v>54</v>
      </c>
      <c r="B202" s="37" t="s">
        <v>20</v>
      </c>
      <c r="C202" s="22">
        <v>4.0</v>
      </c>
      <c r="D202" s="8" t="b">
        <v>1</v>
      </c>
      <c r="E202" s="9"/>
      <c r="F202" s="8" t="b">
        <v>0</v>
      </c>
      <c r="G202" s="25" t="s">
        <v>15</v>
      </c>
      <c r="H202" s="8" t="b">
        <v>0</v>
      </c>
      <c r="I202" s="7"/>
      <c r="J202" s="9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10" t="s">
        <v>54</v>
      </c>
      <c r="B203" s="36" t="s">
        <v>20</v>
      </c>
      <c r="C203" s="20">
        <v>5.0</v>
      </c>
      <c r="D203" s="8" t="b">
        <v>0</v>
      </c>
      <c r="E203" s="9"/>
      <c r="F203" s="8" t="b">
        <v>0</v>
      </c>
      <c r="G203" s="9"/>
      <c r="H203" s="8" t="b">
        <v>0</v>
      </c>
      <c r="I203" s="7"/>
      <c r="J203" s="9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10" t="s">
        <v>54</v>
      </c>
      <c r="B204" s="37" t="s">
        <v>20</v>
      </c>
      <c r="C204" s="22">
        <v>6.0</v>
      </c>
      <c r="D204" s="8" t="b">
        <v>1</v>
      </c>
      <c r="E204" s="9"/>
      <c r="F204" s="8" t="b">
        <v>0</v>
      </c>
      <c r="G204" s="25" t="s">
        <v>15</v>
      </c>
      <c r="H204" s="8" t="b">
        <v>0</v>
      </c>
      <c r="I204" s="7"/>
      <c r="J204" s="9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10" t="s">
        <v>54</v>
      </c>
      <c r="B205" s="36" t="s">
        <v>20</v>
      </c>
      <c r="C205" s="30">
        <v>7.0</v>
      </c>
      <c r="D205" s="8" t="b">
        <v>1</v>
      </c>
      <c r="E205" s="9"/>
      <c r="F205" s="8" t="b">
        <v>0</v>
      </c>
      <c r="G205" s="25" t="s">
        <v>15</v>
      </c>
      <c r="H205" s="8" t="b">
        <v>0</v>
      </c>
      <c r="I205" s="7"/>
      <c r="J205" s="9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10" t="s">
        <v>54</v>
      </c>
      <c r="B206" s="38" t="s">
        <v>21</v>
      </c>
      <c r="C206" s="32">
        <v>1.0</v>
      </c>
      <c r="D206" s="8" t="b">
        <v>0</v>
      </c>
      <c r="E206" s="9"/>
      <c r="F206" s="8" t="b">
        <v>0</v>
      </c>
      <c r="G206" s="9"/>
      <c r="H206" s="8" t="b">
        <v>0</v>
      </c>
      <c r="I206" s="7"/>
      <c r="J206" s="9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10" t="s">
        <v>54</v>
      </c>
      <c r="B207" s="39" t="s">
        <v>21</v>
      </c>
      <c r="C207" s="20">
        <v>2.0</v>
      </c>
      <c r="D207" s="8" t="b">
        <v>1</v>
      </c>
      <c r="E207" s="8" t="s">
        <v>57</v>
      </c>
      <c r="F207" s="8" t="b">
        <v>0</v>
      </c>
      <c r="G207" s="9"/>
      <c r="H207" s="8" t="b">
        <v>0</v>
      </c>
      <c r="I207" s="7"/>
      <c r="J207" s="9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10" t="s">
        <v>54</v>
      </c>
      <c r="B208" s="38" t="s">
        <v>21</v>
      </c>
      <c r="C208" s="32">
        <v>3.0</v>
      </c>
      <c r="D208" s="8" t="b">
        <v>0</v>
      </c>
      <c r="E208" s="9"/>
      <c r="F208" s="8" t="b">
        <v>0</v>
      </c>
      <c r="G208" s="9"/>
      <c r="H208" s="8" t="b">
        <v>0</v>
      </c>
      <c r="I208" s="7"/>
      <c r="J208" s="9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10" t="s">
        <v>54</v>
      </c>
      <c r="B209" s="39" t="s">
        <v>21</v>
      </c>
      <c r="C209" s="20">
        <v>4.0</v>
      </c>
      <c r="D209" s="8" t="b">
        <v>0</v>
      </c>
      <c r="E209" s="9"/>
      <c r="F209" s="8" t="b">
        <v>0</v>
      </c>
      <c r="G209" s="9"/>
      <c r="H209" s="8" t="b">
        <v>0</v>
      </c>
      <c r="I209" s="7"/>
      <c r="J209" s="9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10" t="s">
        <v>54</v>
      </c>
      <c r="B210" s="38" t="s">
        <v>21</v>
      </c>
      <c r="C210" s="32">
        <v>5.0</v>
      </c>
      <c r="D210" s="8" t="b">
        <v>0</v>
      </c>
      <c r="E210" s="9"/>
      <c r="F210" s="8" t="b">
        <v>0</v>
      </c>
      <c r="G210" s="9"/>
      <c r="H210" s="8" t="b">
        <v>0</v>
      </c>
      <c r="I210" s="7"/>
      <c r="J210" s="9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10" t="s">
        <v>54</v>
      </c>
      <c r="B211" s="39" t="s">
        <v>21</v>
      </c>
      <c r="C211" s="20">
        <v>6.0</v>
      </c>
      <c r="D211" s="8" t="b">
        <v>0</v>
      </c>
      <c r="E211" s="9"/>
      <c r="F211" s="8" t="b">
        <v>0</v>
      </c>
      <c r="G211" s="9"/>
      <c r="H211" s="8" t="b">
        <v>0</v>
      </c>
      <c r="I211" s="7"/>
      <c r="J211" s="9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10" t="s">
        <v>54</v>
      </c>
      <c r="B212" s="38" t="s">
        <v>21</v>
      </c>
      <c r="C212" s="35">
        <v>7.0</v>
      </c>
      <c r="D212" s="8" t="b">
        <v>0</v>
      </c>
      <c r="E212" s="9"/>
      <c r="F212" s="8" t="b">
        <v>0</v>
      </c>
      <c r="G212" s="9"/>
      <c r="H212" s="8" t="b">
        <v>0</v>
      </c>
      <c r="I212" s="7"/>
      <c r="J212" s="9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10" t="s">
        <v>54</v>
      </c>
      <c r="B213" s="23" t="s">
        <v>23</v>
      </c>
      <c r="C213" s="20">
        <v>1.0</v>
      </c>
      <c r="D213" s="8" t="b">
        <v>0</v>
      </c>
      <c r="E213" s="9"/>
      <c r="F213" s="8" t="b">
        <v>0</v>
      </c>
      <c r="G213" s="9"/>
      <c r="H213" s="8" t="b">
        <v>0</v>
      </c>
      <c r="I213" s="7"/>
      <c r="J213" s="9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10" t="s">
        <v>54</v>
      </c>
      <c r="B214" s="24" t="s">
        <v>23</v>
      </c>
      <c r="C214" s="22">
        <v>2.0</v>
      </c>
      <c r="D214" s="8" t="b">
        <v>0</v>
      </c>
      <c r="E214" s="9"/>
      <c r="F214" s="8" t="b">
        <v>0</v>
      </c>
      <c r="G214" s="9"/>
      <c r="H214" s="8" t="b">
        <v>0</v>
      </c>
      <c r="I214" s="7"/>
      <c r="J214" s="9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10" t="s">
        <v>54</v>
      </c>
      <c r="B215" s="23" t="s">
        <v>23</v>
      </c>
      <c r="C215" s="20">
        <v>3.0</v>
      </c>
      <c r="D215" s="8" t="b">
        <v>0</v>
      </c>
      <c r="E215" s="9"/>
      <c r="F215" s="8" t="b">
        <v>0</v>
      </c>
      <c r="G215" s="9"/>
      <c r="H215" s="8" t="b">
        <v>0</v>
      </c>
      <c r="I215" s="7"/>
      <c r="J215" s="9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10" t="s">
        <v>54</v>
      </c>
      <c r="B216" s="24" t="s">
        <v>23</v>
      </c>
      <c r="C216" s="22">
        <v>4.0</v>
      </c>
      <c r="D216" s="8" t="b">
        <v>0</v>
      </c>
      <c r="E216" s="9"/>
      <c r="F216" s="8" t="b">
        <v>0</v>
      </c>
      <c r="G216" s="9"/>
      <c r="H216" s="8" t="b">
        <v>0</v>
      </c>
      <c r="I216" s="7"/>
      <c r="J216" s="9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10" t="s">
        <v>54</v>
      </c>
      <c r="B217" s="23" t="s">
        <v>23</v>
      </c>
      <c r="C217" s="20">
        <v>5.0</v>
      </c>
      <c r="D217" s="8" t="b">
        <v>0</v>
      </c>
      <c r="E217" s="9"/>
      <c r="F217" s="8" t="b">
        <v>0</v>
      </c>
      <c r="G217" s="9"/>
      <c r="H217" s="8" t="b">
        <v>0</v>
      </c>
      <c r="I217" s="7"/>
      <c r="J217" s="9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10" t="s">
        <v>54</v>
      </c>
      <c r="B218" s="24" t="s">
        <v>23</v>
      </c>
      <c r="C218" s="22">
        <v>6.0</v>
      </c>
      <c r="D218" s="8" t="b">
        <v>0</v>
      </c>
      <c r="E218" s="9"/>
      <c r="F218" s="8" t="b">
        <v>0</v>
      </c>
      <c r="G218" s="9"/>
      <c r="H218" s="8" t="b">
        <v>0</v>
      </c>
      <c r="I218" s="7"/>
      <c r="J218" s="9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10" t="s">
        <v>54</v>
      </c>
      <c r="B219" s="23" t="s">
        <v>23</v>
      </c>
      <c r="C219" s="30">
        <v>7.0</v>
      </c>
      <c r="D219" s="8" t="b">
        <v>0</v>
      </c>
      <c r="E219" s="9"/>
      <c r="F219" s="8" t="b">
        <v>0</v>
      </c>
      <c r="G219" s="9"/>
      <c r="H219" s="8" t="b">
        <v>0</v>
      </c>
      <c r="I219" s="7"/>
      <c r="J219" s="9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10" t="s">
        <v>54</v>
      </c>
      <c r="B220" s="40" t="s">
        <v>28</v>
      </c>
      <c r="C220" s="32">
        <v>1.0</v>
      </c>
      <c r="D220" s="8" t="b">
        <v>0</v>
      </c>
      <c r="E220" s="9"/>
      <c r="F220" s="8" t="b">
        <v>0</v>
      </c>
      <c r="G220" s="9"/>
      <c r="H220" s="8" t="b">
        <v>0</v>
      </c>
      <c r="I220" s="7"/>
      <c r="J220" s="9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10" t="s">
        <v>54</v>
      </c>
      <c r="B221" s="41" t="s">
        <v>28</v>
      </c>
      <c r="C221" s="20">
        <v>2.0</v>
      </c>
      <c r="D221" s="8" t="b">
        <v>0</v>
      </c>
      <c r="E221" s="9"/>
      <c r="F221" s="8" t="b">
        <v>0</v>
      </c>
      <c r="G221" s="9"/>
      <c r="H221" s="8" t="b">
        <v>0</v>
      </c>
      <c r="I221" s="7"/>
      <c r="J221" s="9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10" t="s">
        <v>54</v>
      </c>
      <c r="B222" s="40" t="s">
        <v>28</v>
      </c>
      <c r="C222" s="32">
        <v>3.0</v>
      </c>
      <c r="D222" s="8" t="b">
        <v>0</v>
      </c>
      <c r="E222" s="9"/>
      <c r="F222" s="8" t="b">
        <v>0</v>
      </c>
      <c r="G222" s="9"/>
      <c r="H222" s="8" t="b">
        <v>0</v>
      </c>
      <c r="I222" s="7"/>
      <c r="J222" s="9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10" t="s">
        <v>54</v>
      </c>
      <c r="B223" s="41" t="s">
        <v>28</v>
      </c>
      <c r="C223" s="20">
        <v>4.0</v>
      </c>
      <c r="D223" s="8" t="b">
        <v>0</v>
      </c>
      <c r="E223" s="9"/>
      <c r="F223" s="8" t="b">
        <v>0</v>
      </c>
      <c r="G223" s="9"/>
      <c r="H223" s="8" t="b">
        <v>0</v>
      </c>
      <c r="I223" s="7"/>
      <c r="J223" s="9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10" t="s">
        <v>54</v>
      </c>
      <c r="B224" s="40" t="s">
        <v>28</v>
      </c>
      <c r="C224" s="32">
        <v>5.0</v>
      </c>
      <c r="D224" s="8" t="b">
        <v>0</v>
      </c>
      <c r="E224" s="9"/>
      <c r="F224" s="8" t="b">
        <v>0</v>
      </c>
      <c r="G224" s="9"/>
      <c r="H224" s="8" t="b">
        <v>0</v>
      </c>
      <c r="I224" s="7"/>
      <c r="J224" s="9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10" t="s">
        <v>54</v>
      </c>
      <c r="B225" s="41" t="s">
        <v>28</v>
      </c>
      <c r="C225" s="20">
        <v>6.0</v>
      </c>
      <c r="D225" s="8" t="b">
        <v>0</v>
      </c>
      <c r="E225" s="9"/>
      <c r="F225" s="8" t="b">
        <v>0</v>
      </c>
      <c r="G225" s="9"/>
      <c r="H225" s="8" t="b">
        <v>0</v>
      </c>
      <c r="I225" s="7"/>
      <c r="J225" s="9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10" t="s">
        <v>54</v>
      </c>
      <c r="B226" s="40" t="s">
        <v>28</v>
      </c>
      <c r="C226" s="35">
        <v>7.0</v>
      </c>
      <c r="D226" s="8" t="b">
        <v>0</v>
      </c>
      <c r="E226" s="9"/>
      <c r="F226" s="8" t="b">
        <v>0</v>
      </c>
      <c r="G226" s="9"/>
      <c r="H226" s="8" t="b">
        <v>0</v>
      </c>
      <c r="I226" s="7"/>
      <c r="J226" s="9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10" t="s">
        <v>54</v>
      </c>
      <c r="B227" s="42" t="s">
        <v>30</v>
      </c>
      <c r="C227" s="20">
        <v>1.0</v>
      </c>
      <c r="D227" s="8" t="b">
        <v>0</v>
      </c>
      <c r="E227" s="9"/>
      <c r="F227" s="8" t="b">
        <v>0</v>
      </c>
      <c r="G227" s="9"/>
      <c r="H227" s="8" t="b">
        <v>0</v>
      </c>
      <c r="I227" s="7"/>
      <c r="J227" s="9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10" t="s">
        <v>54</v>
      </c>
      <c r="B228" s="43" t="s">
        <v>30</v>
      </c>
      <c r="C228" s="22">
        <v>2.0</v>
      </c>
      <c r="D228" s="8" t="b">
        <v>0</v>
      </c>
      <c r="E228" s="9"/>
      <c r="F228" s="8" t="b">
        <v>0</v>
      </c>
      <c r="G228" s="9"/>
      <c r="H228" s="8" t="b">
        <v>0</v>
      </c>
      <c r="I228" s="7"/>
      <c r="J228" s="9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10" t="s">
        <v>54</v>
      </c>
      <c r="B229" s="42" t="s">
        <v>30</v>
      </c>
      <c r="C229" s="20">
        <v>3.0</v>
      </c>
      <c r="D229" s="8" t="b">
        <v>0</v>
      </c>
      <c r="E229" s="9"/>
      <c r="F229" s="8" t="b">
        <v>0</v>
      </c>
      <c r="G229" s="9"/>
      <c r="H229" s="8" t="b">
        <v>0</v>
      </c>
      <c r="I229" s="7"/>
      <c r="J229" s="9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10" t="s">
        <v>54</v>
      </c>
      <c r="B230" s="43" t="s">
        <v>30</v>
      </c>
      <c r="C230" s="22">
        <v>4.0</v>
      </c>
      <c r="D230" s="8" t="b">
        <v>0</v>
      </c>
      <c r="E230" s="9"/>
      <c r="F230" s="8" t="b">
        <v>0</v>
      </c>
      <c r="G230" s="9"/>
      <c r="H230" s="8" t="b">
        <v>0</v>
      </c>
      <c r="I230" s="7"/>
      <c r="J230" s="9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10" t="s">
        <v>54</v>
      </c>
      <c r="B231" s="42" t="s">
        <v>30</v>
      </c>
      <c r="C231" s="20">
        <v>5.0</v>
      </c>
      <c r="D231" s="8" t="b">
        <v>0</v>
      </c>
      <c r="E231" s="9"/>
      <c r="F231" s="8" t="b">
        <v>0</v>
      </c>
      <c r="G231" s="9"/>
      <c r="H231" s="8" t="b">
        <v>0</v>
      </c>
      <c r="I231" s="7"/>
      <c r="J231" s="9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10" t="s">
        <v>54</v>
      </c>
      <c r="B232" s="43" t="s">
        <v>30</v>
      </c>
      <c r="C232" s="22">
        <v>6.0</v>
      </c>
      <c r="D232" s="8" t="b">
        <v>0</v>
      </c>
      <c r="E232" s="9"/>
      <c r="F232" s="8" t="b">
        <v>0</v>
      </c>
      <c r="G232" s="9"/>
      <c r="H232" s="8" t="b">
        <v>0</v>
      </c>
      <c r="I232" s="7"/>
      <c r="J232" s="9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10" t="s">
        <v>54</v>
      </c>
      <c r="B233" s="42" t="s">
        <v>30</v>
      </c>
      <c r="C233" s="30">
        <v>7.0</v>
      </c>
      <c r="D233" s="8" t="b">
        <v>0</v>
      </c>
      <c r="E233" s="9"/>
      <c r="F233" s="8" t="b">
        <v>0</v>
      </c>
      <c r="G233" s="9"/>
      <c r="H233" s="8" t="b">
        <v>0</v>
      </c>
      <c r="I233" s="7"/>
      <c r="J233" s="9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10" t="s">
        <v>54</v>
      </c>
      <c r="B234" s="44" t="s">
        <v>33</v>
      </c>
      <c r="C234" s="32">
        <v>1.0</v>
      </c>
      <c r="D234" s="8" t="b">
        <v>0</v>
      </c>
      <c r="E234" s="9"/>
      <c r="F234" s="8" t="b">
        <v>0</v>
      </c>
      <c r="G234" s="9"/>
      <c r="H234" s="8" t="b">
        <v>0</v>
      </c>
      <c r="I234" s="7"/>
      <c r="J234" s="9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10" t="s">
        <v>54</v>
      </c>
      <c r="B235" s="45" t="s">
        <v>33</v>
      </c>
      <c r="C235" s="20">
        <v>2.0</v>
      </c>
      <c r="D235" s="8" t="b">
        <v>0</v>
      </c>
      <c r="E235" s="9"/>
      <c r="F235" s="8" t="b">
        <v>0</v>
      </c>
      <c r="G235" s="9"/>
      <c r="H235" s="8" t="b">
        <v>0</v>
      </c>
      <c r="I235" s="7"/>
      <c r="J235" s="9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10" t="s">
        <v>54</v>
      </c>
      <c r="B236" s="44" t="s">
        <v>33</v>
      </c>
      <c r="C236" s="32">
        <v>3.0</v>
      </c>
      <c r="D236" s="8" t="b">
        <v>1</v>
      </c>
      <c r="E236" s="9"/>
      <c r="F236" s="8" t="b">
        <v>0</v>
      </c>
      <c r="G236" s="25" t="s">
        <v>15</v>
      </c>
      <c r="H236" s="8" t="b">
        <v>0</v>
      </c>
      <c r="I236" s="7"/>
      <c r="J236" s="9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10" t="s">
        <v>54</v>
      </c>
      <c r="B237" s="45" t="s">
        <v>33</v>
      </c>
      <c r="C237" s="20">
        <v>4.0</v>
      </c>
      <c r="D237" s="8" t="b">
        <v>0</v>
      </c>
      <c r="E237" s="9"/>
      <c r="F237" s="8" t="b">
        <v>0</v>
      </c>
      <c r="G237" s="9"/>
      <c r="H237" s="8" t="b">
        <v>0</v>
      </c>
      <c r="I237" s="7"/>
      <c r="J237" s="9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10" t="s">
        <v>54</v>
      </c>
      <c r="B238" s="44" t="s">
        <v>33</v>
      </c>
      <c r="C238" s="32">
        <v>5.0</v>
      </c>
      <c r="D238" s="8" t="b">
        <v>0</v>
      </c>
      <c r="E238" s="9"/>
      <c r="F238" s="8" t="b">
        <v>0</v>
      </c>
      <c r="G238" s="9"/>
      <c r="H238" s="8" t="b">
        <v>0</v>
      </c>
      <c r="I238" s="7"/>
      <c r="J238" s="9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10" t="s">
        <v>54</v>
      </c>
      <c r="B239" s="45" t="s">
        <v>33</v>
      </c>
      <c r="C239" s="20">
        <v>6.0</v>
      </c>
      <c r="D239" s="8" t="b">
        <v>0</v>
      </c>
      <c r="E239" s="9"/>
      <c r="F239" s="8" t="b">
        <v>0</v>
      </c>
      <c r="G239" s="9"/>
      <c r="H239" s="8" t="b">
        <v>0</v>
      </c>
      <c r="I239" s="7"/>
      <c r="J239" s="9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10" t="s">
        <v>54</v>
      </c>
      <c r="B240" s="46" t="s">
        <v>33</v>
      </c>
      <c r="C240" s="47">
        <v>7.0</v>
      </c>
      <c r="D240" s="8" t="b">
        <v>0</v>
      </c>
      <c r="E240" s="9"/>
      <c r="F240" s="8" t="b">
        <v>0</v>
      </c>
      <c r="G240" s="9"/>
      <c r="H240" s="8" t="b">
        <v>0</v>
      </c>
      <c r="I240" s="7"/>
      <c r="J240" s="9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10" t="s">
        <v>58</v>
      </c>
      <c r="B241" s="17" t="s">
        <v>11</v>
      </c>
      <c r="C241" s="48">
        <v>1.0</v>
      </c>
      <c r="D241" s="49" t="b">
        <v>1</v>
      </c>
      <c r="E241" s="50"/>
      <c r="F241" s="49" t="b">
        <v>0</v>
      </c>
      <c r="G241" s="50"/>
      <c r="H241" s="49" t="b">
        <v>0</v>
      </c>
      <c r="I241" s="51"/>
      <c r="J241" s="50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10" t="s">
        <v>58</v>
      </c>
      <c r="B242" s="19" t="s">
        <v>11</v>
      </c>
      <c r="C242" s="20">
        <v>2.0</v>
      </c>
      <c r="D242" s="8" t="b">
        <v>0</v>
      </c>
      <c r="E242" s="9"/>
      <c r="F242" s="8" t="b">
        <v>0</v>
      </c>
      <c r="G242" s="9"/>
      <c r="H242" s="8" t="b">
        <v>0</v>
      </c>
      <c r="I242" s="7"/>
      <c r="J242" s="9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10" t="s">
        <v>58</v>
      </c>
      <c r="B243" s="21" t="s">
        <v>11</v>
      </c>
      <c r="C243" s="22">
        <v>3.0</v>
      </c>
      <c r="D243" s="8" t="b">
        <v>1</v>
      </c>
      <c r="E243" s="8" t="s">
        <v>59</v>
      </c>
      <c r="F243" s="8" t="b">
        <v>0</v>
      </c>
      <c r="G243" s="9"/>
      <c r="H243" s="8" t="b">
        <v>0</v>
      </c>
      <c r="I243" s="7"/>
      <c r="J243" s="9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10" t="s">
        <v>58</v>
      </c>
      <c r="B244" s="19" t="s">
        <v>11</v>
      </c>
      <c r="C244" s="20">
        <v>4.0</v>
      </c>
      <c r="D244" s="8" t="b">
        <v>1</v>
      </c>
      <c r="E244" s="8" t="s">
        <v>60</v>
      </c>
      <c r="F244" s="8" t="b">
        <v>0</v>
      </c>
      <c r="G244" s="9"/>
      <c r="H244" s="8" t="b">
        <v>0</v>
      </c>
      <c r="I244" s="7"/>
      <c r="J244" s="9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10" t="s">
        <v>58</v>
      </c>
      <c r="B245" s="21" t="s">
        <v>11</v>
      </c>
      <c r="C245" s="22">
        <v>5.0</v>
      </c>
      <c r="D245" s="8" t="b">
        <v>1</v>
      </c>
      <c r="E245" s="8" t="s">
        <v>61</v>
      </c>
      <c r="F245" s="8" t="b">
        <v>0</v>
      </c>
      <c r="G245" s="9"/>
      <c r="H245" s="8" t="b">
        <v>0</v>
      </c>
      <c r="I245" s="7"/>
      <c r="J245" s="9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10" t="s">
        <v>58</v>
      </c>
      <c r="B246" s="19" t="s">
        <v>11</v>
      </c>
      <c r="C246" s="20">
        <v>6.0</v>
      </c>
      <c r="D246" s="8" t="b">
        <v>1</v>
      </c>
      <c r="E246" s="8" t="s">
        <v>62</v>
      </c>
      <c r="F246" s="8" t="b">
        <v>0</v>
      </c>
      <c r="G246" s="9"/>
      <c r="H246" s="8" t="b">
        <v>0</v>
      </c>
      <c r="I246" s="7"/>
      <c r="J246" s="9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10" t="s">
        <v>58</v>
      </c>
      <c r="B247" s="52" t="s">
        <v>11</v>
      </c>
      <c r="C247" s="53">
        <v>7.0</v>
      </c>
      <c r="D247" s="8" t="b">
        <v>0</v>
      </c>
      <c r="E247" s="9"/>
      <c r="F247" s="8" t="b">
        <v>0</v>
      </c>
      <c r="G247" s="9"/>
      <c r="H247" s="8" t="b">
        <v>0</v>
      </c>
      <c r="I247" s="7"/>
      <c r="J247" s="9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54" t="s">
        <v>58</v>
      </c>
      <c r="B248" s="55" t="s">
        <v>12</v>
      </c>
      <c r="C248" s="56">
        <v>1.0</v>
      </c>
      <c r="D248" s="49" t="b">
        <v>0</v>
      </c>
      <c r="E248" s="50"/>
      <c r="F248" s="49" t="b">
        <v>0</v>
      </c>
      <c r="G248" s="50"/>
      <c r="H248" s="49" t="b">
        <v>0</v>
      </c>
      <c r="I248" s="51"/>
      <c r="J248" s="50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10" t="s">
        <v>58</v>
      </c>
      <c r="B249" s="24" t="s">
        <v>12</v>
      </c>
      <c r="C249" s="22">
        <v>2.0</v>
      </c>
      <c r="D249" s="8" t="b">
        <v>1</v>
      </c>
      <c r="E249" s="8" t="s">
        <v>63</v>
      </c>
      <c r="F249" s="8" t="b">
        <v>1</v>
      </c>
      <c r="G249" s="8" t="s">
        <v>64</v>
      </c>
      <c r="H249" s="8" t="b">
        <v>1</v>
      </c>
      <c r="I249" s="57">
        <v>46226.0</v>
      </c>
      <c r="J249" s="8">
        <v>20.0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10" t="s">
        <v>58</v>
      </c>
      <c r="B250" s="23" t="s">
        <v>12</v>
      </c>
      <c r="C250" s="20">
        <v>3.0</v>
      </c>
      <c r="D250" s="8" t="b">
        <v>0</v>
      </c>
      <c r="E250" s="9"/>
      <c r="F250" s="8" t="b">
        <v>0</v>
      </c>
      <c r="G250" s="9"/>
      <c r="H250" s="8" t="b">
        <v>0</v>
      </c>
      <c r="I250" s="7"/>
      <c r="J250" s="9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10" t="s">
        <v>58</v>
      </c>
      <c r="B251" s="24" t="s">
        <v>12</v>
      </c>
      <c r="C251" s="22">
        <v>4.0</v>
      </c>
      <c r="D251" s="8" t="b">
        <v>1</v>
      </c>
      <c r="E251" s="8" t="s">
        <v>65</v>
      </c>
      <c r="F251" s="8" t="b">
        <v>1</v>
      </c>
      <c r="G251" s="8" t="s">
        <v>66</v>
      </c>
      <c r="H251" s="8" t="b">
        <v>1</v>
      </c>
      <c r="I251" s="57">
        <v>46226.0</v>
      </c>
      <c r="J251" s="8">
        <v>30.0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10" t="s">
        <v>58</v>
      </c>
      <c r="B252" s="23" t="s">
        <v>12</v>
      </c>
      <c r="C252" s="20">
        <v>5.0</v>
      </c>
      <c r="D252" s="8" t="b">
        <v>0</v>
      </c>
      <c r="E252" s="9"/>
      <c r="F252" s="8" t="b">
        <v>0</v>
      </c>
      <c r="G252" s="9"/>
      <c r="H252" s="8" t="b">
        <v>0</v>
      </c>
      <c r="I252" s="7"/>
      <c r="J252" s="9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10" t="s">
        <v>58</v>
      </c>
      <c r="B253" s="24" t="s">
        <v>12</v>
      </c>
      <c r="C253" s="22">
        <v>6.0</v>
      </c>
      <c r="D253" s="8" t="b">
        <v>1</v>
      </c>
      <c r="E253" s="8" t="s">
        <v>67</v>
      </c>
      <c r="F253" s="8" t="b">
        <v>1</v>
      </c>
      <c r="G253" s="8" t="s">
        <v>68</v>
      </c>
      <c r="H253" s="8" t="b">
        <v>0</v>
      </c>
      <c r="I253" s="57">
        <v>46226.0</v>
      </c>
      <c r="J253" s="8">
        <v>28.0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58" t="s">
        <v>58</v>
      </c>
      <c r="B254" s="59" t="s">
        <v>12</v>
      </c>
      <c r="C254" s="60">
        <v>7.0</v>
      </c>
      <c r="D254" s="61" t="b">
        <v>1</v>
      </c>
      <c r="E254" s="61" t="s">
        <v>69</v>
      </c>
      <c r="F254" s="61" t="b">
        <v>1</v>
      </c>
      <c r="G254" s="61" t="s">
        <v>70</v>
      </c>
      <c r="H254" s="61" t="b">
        <v>1</v>
      </c>
      <c r="I254" s="62">
        <v>46226.0</v>
      </c>
      <c r="J254" s="61">
        <v>28.0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10" t="s">
        <v>58</v>
      </c>
      <c r="B255" s="26" t="s">
        <v>13</v>
      </c>
      <c r="C255" s="22">
        <v>1.0</v>
      </c>
      <c r="D255" s="8" t="b">
        <v>1</v>
      </c>
      <c r="E255" s="8" t="s">
        <v>71</v>
      </c>
      <c r="F255" s="8" t="b">
        <v>0</v>
      </c>
      <c r="G255" s="9"/>
      <c r="H255" s="8" t="b">
        <v>0</v>
      </c>
      <c r="I255" s="7"/>
      <c r="J255" s="9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10" t="s">
        <v>58</v>
      </c>
      <c r="B256" s="27" t="s">
        <v>13</v>
      </c>
      <c r="C256" s="20">
        <v>2.0</v>
      </c>
      <c r="D256" s="8" t="b">
        <v>1</v>
      </c>
      <c r="E256" s="8" t="s">
        <v>72</v>
      </c>
      <c r="F256" s="8" t="b">
        <v>0</v>
      </c>
      <c r="G256" s="9"/>
      <c r="H256" s="8" t="b">
        <v>0</v>
      </c>
      <c r="I256" s="7"/>
      <c r="J256" s="9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10" t="s">
        <v>58</v>
      </c>
      <c r="B257" s="26" t="s">
        <v>13</v>
      </c>
      <c r="C257" s="22">
        <v>3.0</v>
      </c>
      <c r="D257" s="8" t="b">
        <v>1</v>
      </c>
      <c r="E257" s="8" t="s">
        <v>73</v>
      </c>
      <c r="F257" s="8" t="b">
        <v>0</v>
      </c>
      <c r="G257" s="9"/>
      <c r="H257" s="8" t="b">
        <v>0</v>
      </c>
      <c r="I257" s="7"/>
      <c r="J257" s="9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10" t="s">
        <v>58</v>
      </c>
      <c r="B258" s="27" t="s">
        <v>13</v>
      </c>
      <c r="C258" s="20">
        <v>4.0</v>
      </c>
      <c r="D258" s="8" t="b">
        <v>1</v>
      </c>
      <c r="E258" s="8" t="s">
        <v>74</v>
      </c>
      <c r="F258" s="8" t="b">
        <v>0</v>
      </c>
      <c r="G258" s="9"/>
      <c r="H258" s="8" t="b">
        <v>0</v>
      </c>
      <c r="I258" s="7"/>
      <c r="J258" s="9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10" t="s">
        <v>58</v>
      </c>
      <c r="B259" s="26" t="s">
        <v>13</v>
      </c>
      <c r="C259" s="22">
        <v>5.0</v>
      </c>
      <c r="D259" s="8" t="b">
        <v>1</v>
      </c>
      <c r="E259" s="8" t="s">
        <v>75</v>
      </c>
      <c r="F259" s="8" t="b">
        <v>0</v>
      </c>
      <c r="G259" s="9"/>
      <c r="H259" s="8" t="b">
        <v>0</v>
      </c>
      <c r="I259" s="7"/>
      <c r="J259" s="9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10" t="s">
        <v>58</v>
      </c>
      <c r="B260" s="27" t="s">
        <v>13</v>
      </c>
      <c r="C260" s="20">
        <v>6.0</v>
      </c>
      <c r="D260" s="8" t="b">
        <v>1</v>
      </c>
      <c r="E260" s="8" t="s">
        <v>76</v>
      </c>
      <c r="F260" s="8" t="b">
        <v>0</v>
      </c>
      <c r="G260" s="9"/>
      <c r="H260" s="8" t="b">
        <v>0</v>
      </c>
      <c r="I260" s="7"/>
      <c r="J260" s="9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10" t="s">
        <v>58</v>
      </c>
      <c r="B261" s="26" t="s">
        <v>13</v>
      </c>
      <c r="C261" s="63">
        <v>7.0</v>
      </c>
      <c r="D261" s="61" t="b">
        <v>1</v>
      </c>
      <c r="E261" s="61" t="s">
        <v>77</v>
      </c>
      <c r="F261" s="61" t="b">
        <v>0</v>
      </c>
      <c r="G261" s="64"/>
      <c r="H261" s="61" t="b">
        <v>0</v>
      </c>
      <c r="I261" s="65"/>
      <c r="J261" s="6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10" t="s">
        <v>58</v>
      </c>
      <c r="B262" s="28" t="s">
        <v>16</v>
      </c>
      <c r="C262" s="20">
        <v>1.0</v>
      </c>
      <c r="D262" s="8" t="b">
        <v>1</v>
      </c>
      <c r="E262" s="66" t="s">
        <v>72</v>
      </c>
      <c r="F262" s="8" t="b">
        <v>0</v>
      </c>
      <c r="G262" s="9"/>
      <c r="H262" s="8" t="b">
        <v>0</v>
      </c>
      <c r="I262" s="7"/>
      <c r="J262" s="9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10" t="s">
        <v>58</v>
      </c>
      <c r="B263" s="29" t="s">
        <v>16</v>
      </c>
      <c r="C263" s="22">
        <v>2.0</v>
      </c>
      <c r="D263" s="8" t="b">
        <v>1</v>
      </c>
      <c r="E263" s="8" t="s">
        <v>78</v>
      </c>
      <c r="F263" s="8" t="b">
        <v>0</v>
      </c>
      <c r="G263" s="9"/>
      <c r="H263" s="8" t="b">
        <v>0</v>
      </c>
      <c r="I263" s="7"/>
      <c r="J263" s="9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10" t="s">
        <v>58</v>
      </c>
      <c r="B264" s="28" t="s">
        <v>16</v>
      </c>
      <c r="C264" s="20">
        <v>3.0</v>
      </c>
      <c r="D264" s="8" t="b">
        <v>1</v>
      </c>
      <c r="E264" s="1" t="s">
        <v>79</v>
      </c>
      <c r="F264" s="8" t="b">
        <v>0</v>
      </c>
      <c r="G264" s="9"/>
      <c r="H264" s="8" t="b">
        <v>0</v>
      </c>
      <c r="I264" s="7"/>
      <c r="J264" s="9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10" t="s">
        <v>58</v>
      </c>
      <c r="B265" s="29" t="s">
        <v>16</v>
      </c>
      <c r="C265" s="22">
        <v>4.0</v>
      </c>
      <c r="D265" s="8" t="b">
        <v>1</v>
      </c>
      <c r="E265" s="67" t="s">
        <v>80</v>
      </c>
      <c r="F265" s="8" t="b">
        <v>0</v>
      </c>
      <c r="G265" s="9"/>
      <c r="H265" s="8" t="b">
        <v>0</v>
      </c>
      <c r="I265" s="7"/>
      <c r="J265" s="9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10" t="s">
        <v>58</v>
      </c>
      <c r="B266" s="28" t="s">
        <v>16</v>
      </c>
      <c r="C266" s="20">
        <v>5.0</v>
      </c>
      <c r="D266" s="8" t="b">
        <v>0</v>
      </c>
      <c r="E266" s="9"/>
      <c r="F266" s="8" t="b">
        <v>0</v>
      </c>
      <c r="G266" s="9"/>
      <c r="H266" s="8" t="b">
        <v>0</v>
      </c>
      <c r="I266" s="7"/>
      <c r="J266" s="9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10" t="s">
        <v>58</v>
      </c>
      <c r="B267" s="29" t="s">
        <v>16</v>
      </c>
      <c r="C267" s="22">
        <v>6.0</v>
      </c>
      <c r="D267" s="8" t="b">
        <v>1</v>
      </c>
      <c r="E267" s="66" t="s">
        <v>81</v>
      </c>
      <c r="F267" s="8" t="b">
        <v>0</v>
      </c>
      <c r="G267" s="9"/>
      <c r="H267" s="8" t="b">
        <v>0</v>
      </c>
      <c r="I267" s="7"/>
      <c r="J267" s="9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10" t="s">
        <v>58</v>
      </c>
      <c r="B268" s="28" t="s">
        <v>16</v>
      </c>
      <c r="C268" s="60">
        <v>7.0</v>
      </c>
      <c r="D268" s="61" t="b">
        <v>1</v>
      </c>
      <c r="E268" s="61" t="s">
        <v>82</v>
      </c>
      <c r="F268" s="61" t="b">
        <v>0</v>
      </c>
      <c r="G268" s="64"/>
      <c r="H268" s="61" t="b">
        <v>0</v>
      </c>
      <c r="I268" s="65"/>
      <c r="J268" s="6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10" t="s">
        <v>58</v>
      </c>
      <c r="B269" s="31" t="s">
        <v>17</v>
      </c>
      <c r="C269" s="32">
        <v>1.0</v>
      </c>
      <c r="D269" s="8" t="b">
        <v>1</v>
      </c>
      <c r="E269" s="66" t="s">
        <v>83</v>
      </c>
      <c r="F269" s="8" t="b">
        <v>0</v>
      </c>
      <c r="G269" s="9"/>
      <c r="H269" s="8" t="b">
        <v>0</v>
      </c>
      <c r="I269" s="7"/>
      <c r="J269" s="9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10" t="s">
        <v>58</v>
      </c>
      <c r="B270" s="33" t="s">
        <v>17</v>
      </c>
      <c r="C270" s="20">
        <v>2.0</v>
      </c>
      <c r="D270" s="8" t="b">
        <v>0</v>
      </c>
      <c r="E270" s="9"/>
      <c r="F270" s="8" t="b">
        <v>0</v>
      </c>
      <c r="G270" s="9"/>
      <c r="H270" s="8" t="b">
        <v>0</v>
      </c>
      <c r="I270" s="7"/>
      <c r="J270" s="9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10" t="s">
        <v>58</v>
      </c>
      <c r="B271" s="31" t="s">
        <v>17</v>
      </c>
      <c r="C271" s="32">
        <v>3.0</v>
      </c>
      <c r="D271" s="8" t="b">
        <v>0</v>
      </c>
      <c r="E271" s="9"/>
      <c r="F271" s="8" t="b">
        <v>0</v>
      </c>
      <c r="G271" s="9"/>
      <c r="H271" s="8" t="b">
        <v>0</v>
      </c>
      <c r="I271" s="7"/>
      <c r="J271" s="9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10" t="s">
        <v>58</v>
      </c>
      <c r="B272" s="33" t="s">
        <v>17</v>
      </c>
      <c r="C272" s="20">
        <v>4.0</v>
      </c>
      <c r="D272" s="8" t="b">
        <v>0</v>
      </c>
      <c r="E272" s="9"/>
      <c r="F272" s="8" t="b">
        <v>0</v>
      </c>
      <c r="G272" s="9"/>
      <c r="H272" s="8" t="b">
        <v>0</v>
      </c>
      <c r="I272" s="7"/>
      <c r="J272" s="9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10" t="s">
        <v>58</v>
      </c>
      <c r="B273" s="31" t="s">
        <v>17</v>
      </c>
      <c r="C273" s="32">
        <v>5.0</v>
      </c>
      <c r="D273" s="8" t="b">
        <v>0</v>
      </c>
      <c r="E273" s="9"/>
      <c r="F273" s="8" t="b">
        <v>0</v>
      </c>
      <c r="G273" s="9"/>
      <c r="H273" s="8" t="b">
        <v>0</v>
      </c>
      <c r="I273" s="7"/>
      <c r="J273" s="9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10" t="s">
        <v>58</v>
      </c>
      <c r="B274" s="33" t="s">
        <v>17</v>
      </c>
      <c r="C274" s="20">
        <v>6.0</v>
      </c>
      <c r="D274" s="8" t="b">
        <v>0</v>
      </c>
      <c r="E274" s="9"/>
      <c r="F274" s="8" t="b">
        <v>0</v>
      </c>
      <c r="G274" s="9"/>
      <c r="H274" s="8" t="b">
        <v>0</v>
      </c>
      <c r="I274" s="7"/>
      <c r="J274" s="9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10" t="s">
        <v>58</v>
      </c>
      <c r="B275" s="31" t="s">
        <v>17</v>
      </c>
      <c r="C275" s="68">
        <v>7.0</v>
      </c>
      <c r="D275" s="61" t="b">
        <v>0</v>
      </c>
      <c r="E275" s="64"/>
      <c r="F275" s="61" t="b">
        <v>0</v>
      </c>
      <c r="G275" s="64"/>
      <c r="H275" s="61" t="b">
        <v>0</v>
      </c>
      <c r="I275" s="65"/>
      <c r="J275" s="6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10" t="s">
        <v>58</v>
      </c>
      <c r="B276" s="69" t="s">
        <v>20</v>
      </c>
      <c r="C276" s="20">
        <v>1.0</v>
      </c>
      <c r="D276" s="8" t="b">
        <v>1</v>
      </c>
      <c r="E276" s="8" t="s">
        <v>84</v>
      </c>
      <c r="F276" s="8" t="b">
        <v>0</v>
      </c>
      <c r="G276" s="9"/>
      <c r="H276" s="8" t="b">
        <v>0</v>
      </c>
      <c r="I276" s="7"/>
      <c r="J276" s="9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10" t="s">
        <v>58</v>
      </c>
      <c r="B277" s="70" t="s">
        <v>20</v>
      </c>
      <c r="C277" s="22">
        <v>2.0</v>
      </c>
      <c r="D277" s="8" t="b">
        <v>1</v>
      </c>
      <c r="E277" s="8" t="s">
        <v>85</v>
      </c>
      <c r="F277" s="8" t="b">
        <v>0</v>
      </c>
      <c r="G277" s="9"/>
      <c r="H277" s="8" t="b">
        <v>0</v>
      </c>
      <c r="I277" s="7"/>
      <c r="J277" s="9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10" t="s">
        <v>58</v>
      </c>
      <c r="B278" s="69" t="s">
        <v>20</v>
      </c>
      <c r="C278" s="20">
        <v>3.0</v>
      </c>
      <c r="D278" s="8" t="b">
        <v>1</v>
      </c>
      <c r="E278" s="8" t="s">
        <v>86</v>
      </c>
      <c r="F278" s="8" t="b">
        <v>0</v>
      </c>
      <c r="G278" s="9"/>
      <c r="H278" s="8" t="b">
        <v>0</v>
      </c>
      <c r="I278" s="7"/>
      <c r="J278" s="9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10" t="s">
        <v>58</v>
      </c>
      <c r="B279" s="70" t="s">
        <v>20</v>
      </c>
      <c r="C279" s="22">
        <v>4.0</v>
      </c>
      <c r="D279" s="8" t="b">
        <v>0</v>
      </c>
      <c r="E279" s="9"/>
      <c r="F279" s="8" t="b">
        <v>1</v>
      </c>
      <c r="G279" s="9"/>
      <c r="H279" s="8" t="b">
        <v>0</v>
      </c>
      <c r="I279" s="7"/>
      <c r="J279" s="9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10" t="s">
        <v>58</v>
      </c>
      <c r="B280" s="69" t="s">
        <v>20</v>
      </c>
      <c r="C280" s="20">
        <v>5.0</v>
      </c>
      <c r="D280" s="8" t="b">
        <v>0</v>
      </c>
      <c r="E280" s="9"/>
      <c r="F280" s="8" t="b">
        <v>0</v>
      </c>
      <c r="G280" s="9"/>
      <c r="H280" s="8" t="b">
        <v>0</v>
      </c>
      <c r="I280" s="7"/>
      <c r="J280" s="9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10" t="s">
        <v>58</v>
      </c>
      <c r="B281" s="70" t="s">
        <v>20</v>
      </c>
      <c r="C281" s="22">
        <v>6.0</v>
      </c>
      <c r="D281" s="8" t="b">
        <v>0</v>
      </c>
      <c r="E281" s="9"/>
      <c r="F281" s="8" t="b">
        <v>0</v>
      </c>
      <c r="G281" s="9"/>
      <c r="H281" s="8" t="b">
        <v>0</v>
      </c>
      <c r="I281" s="7"/>
      <c r="J281" s="9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10" t="s">
        <v>58</v>
      </c>
      <c r="B282" s="69" t="s">
        <v>20</v>
      </c>
      <c r="C282" s="71">
        <v>7.0</v>
      </c>
      <c r="D282" s="8" t="b">
        <v>1</v>
      </c>
      <c r="E282" s="8" t="s">
        <v>87</v>
      </c>
      <c r="F282" s="8" t="b">
        <v>0</v>
      </c>
      <c r="G282" s="9"/>
      <c r="H282" s="8" t="b">
        <v>0</v>
      </c>
      <c r="I282" s="7"/>
      <c r="J282" s="9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10" t="s">
        <v>58</v>
      </c>
      <c r="B283" s="72" t="s">
        <v>21</v>
      </c>
      <c r="C283" s="73">
        <v>1.0</v>
      </c>
      <c r="D283" s="49" t="b">
        <v>0</v>
      </c>
      <c r="E283" s="50"/>
      <c r="F283" s="49" t="b">
        <v>0</v>
      </c>
      <c r="G283" s="50"/>
      <c r="H283" s="49" t="b">
        <v>0</v>
      </c>
      <c r="I283" s="51"/>
      <c r="J283" s="50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10" t="s">
        <v>58</v>
      </c>
      <c r="B284" s="74" t="s">
        <v>21</v>
      </c>
      <c r="C284" s="20">
        <v>2.0</v>
      </c>
      <c r="D284" s="8" t="b">
        <v>0</v>
      </c>
      <c r="E284" s="9"/>
      <c r="F284" s="8" t="b">
        <v>0</v>
      </c>
      <c r="G284" s="9"/>
      <c r="H284" s="8" t="b">
        <v>0</v>
      </c>
      <c r="I284" s="7"/>
      <c r="J284" s="9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10" t="s">
        <v>58</v>
      </c>
      <c r="B285" s="72" t="s">
        <v>21</v>
      </c>
      <c r="C285" s="32">
        <v>3.0</v>
      </c>
      <c r="D285" s="8" t="b">
        <v>1</v>
      </c>
      <c r="E285" s="8" t="s">
        <v>88</v>
      </c>
      <c r="F285" s="8" t="b">
        <v>0</v>
      </c>
      <c r="G285" s="9"/>
      <c r="H285" s="8" t="b">
        <v>0</v>
      </c>
      <c r="I285" s="7"/>
      <c r="J285" s="9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10" t="s">
        <v>58</v>
      </c>
      <c r="B286" s="74" t="s">
        <v>21</v>
      </c>
      <c r="C286" s="20">
        <v>4.0</v>
      </c>
      <c r="D286" s="8" t="b">
        <v>1</v>
      </c>
      <c r="E286" s="8" t="s">
        <v>89</v>
      </c>
      <c r="F286" s="8" t="b">
        <v>0</v>
      </c>
      <c r="G286" s="9"/>
      <c r="H286" s="8" t="b">
        <v>0</v>
      </c>
      <c r="I286" s="7"/>
      <c r="J286" s="9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10" t="s">
        <v>58</v>
      </c>
      <c r="B287" s="72" t="s">
        <v>21</v>
      </c>
      <c r="C287" s="32">
        <v>5.0</v>
      </c>
      <c r="D287" s="8" t="b">
        <v>0</v>
      </c>
      <c r="E287" s="9"/>
      <c r="F287" s="8" t="b">
        <v>0</v>
      </c>
      <c r="G287" s="9"/>
      <c r="H287" s="8" t="b">
        <v>0</v>
      </c>
      <c r="I287" s="7"/>
      <c r="J287" s="9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10" t="s">
        <v>58</v>
      </c>
      <c r="B288" s="74" t="s">
        <v>21</v>
      </c>
      <c r="C288" s="20">
        <v>6.0</v>
      </c>
      <c r="D288" s="8" t="b">
        <v>0</v>
      </c>
      <c r="E288" s="9"/>
      <c r="F288" s="8" t="b">
        <v>0</v>
      </c>
      <c r="G288" s="9"/>
      <c r="H288" s="8" t="b">
        <v>0</v>
      </c>
      <c r="I288" s="7"/>
      <c r="J288" s="9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10" t="s">
        <v>58</v>
      </c>
      <c r="B289" s="72" t="s">
        <v>21</v>
      </c>
      <c r="C289" s="68">
        <v>7.0</v>
      </c>
      <c r="D289" s="61" t="b">
        <v>1</v>
      </c>
      <c r="E289" s="61" t="s">
        <v>90</v>
      </c>
      <c r="F289" s="61" t="b">
        <v>0</v>
      </c>
      <c r="G289" s="64"/>
      <c r="H289" s="61" t="b">
        <v>0</v>
      </c>
      <c r="I289" s="65"/>
      <c r="J289" s="6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10" t="s">
        <v>58</v>
      </c>
      <c r="B290" s="75" t="s">
        <v>23</v>
      </c>
      <c r="C290" s="20">
        <v>1.0</v>
      </c>
      <c r="D290" s="8" t="b">
        <v>1</v>
      </c>
      <c r="E290" s="8" t="s">
        <v>91</v>
      </c>
      <c r="F290" s="8" t="b">
        <v>0</v>
      </c>
      <c r="G290" s="9"/>
      <c r="H290" s="8" t="b">
        <v>0</v>
      </c>
      <c r="I290" s="7"/>
      <c r="J290" s="9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10" t="s">
        <v>58</v>
      </c>
      <c r="B291" s="76" t="s">
        <v>23</v>
      </c>
      <c r="C291" s="22">
        <v>2.0</v>
      </c>
      <c r="D291" s="8" t="b">
        <v>1</v>
      </c>
      <c r="E291" s="77"/>
      <c r="F291" s="8" t="b">
        <v>0</v>
      </c>
      <c r="G291" s="9"/>
      <c r="H291" s="8" t="b">
        <v>0</v>
      </c>
      <c r="I291" s="7"/>
      <c r="J291" s="9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10" t="s">
        <v>58</v>
      </c>
      <c r="B292" s="75" t="s">
        <v>23</v>
      </c>
      <c r="C292" s="20">
        <v>3.0</v>
      </c>
      <c r="D292" s="8" t="b">
        <v>1</v>
      </c>
      <c r="E292" s="8" t="s">
        <v>92</v>
      </c>
      <c r="F292" s="8" t="b">
        <v>0</v>
      </c>
      <c r="G292" s="9"/>
      <c r="H292" s="8" t="b">
        <v>0</v>
      </c>
      <c r="I292" s="7"/>
      <c r="J292" s="9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10" t="s">
        <v>58</v>
      </c>
      <c r="B293" s="76" t="s">
        <v>23</v>
      </c>
      <c r="C293" s="22">
        <v>4.0</v>
      </c>
      <c r="D293" s="8" t="b">
        <v>1</v>
      </c>
      <c r="E293" s="77"/>
      <c r="F293" s="8" t="b">
        <v>0</v>
      </c>
      <c r="G293" s="9"/>
      <c r="H293" s="8" t="b">
        <v>0</v>
      </c>
      <c r="I293" s="7"/>
      <c r="J293" s="9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10" t="s">
        <v>58</v>
      </c>
      <c r="B294" s="75" t="s">
        <v>23</v>
      </c>
      <c r="C294" s="20">
        <v>5.0</v>
      </c>
      <c r="D294" s="8" t="b">
        <v>0</v>
      </c>
      <c r="E294" s="9"/>
      <c r="F294" s="8" t="b">
        <v>0</v>
      </c>
      <c r="G294" s="9"/>
      <c r="H294" s="8" t="b">
        <v>0</v>
      </c>
      <c r="I294" s="7"/>
      <c r="J294" s="9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10" t="s">
        <v>58</v>
      </c>
      <c r="B295" s="76" t="s">
        <v>23</v>
      </c>
      <c r="C295" s="22">
        <v>6.0</v>
      </c>
      <c r="D295" s="8" t="b">
        <v>1</v>
      </c>
      <c r="E295" s="77"/>
      <c r="F295" s="8" t="b">
        <v>0</v>
      </c>
      <c r="G295" s="9"/>
      <c r="H295" s="8" t="b">
        <v>0</v>
      </c>
      <c r="I295" s="7"/>
      <c r="J295" s="9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10" t="s">
        <v>58</v>
      </c>
      <c r="B296" s="75" t="s">
        <v>23</v>
      </c>
      <c r="C296" s="71">
        <v>7.0</v>
      </c>
      <c r="D296" s="8" t="b">
        <v>0</v>
      </c>
      <c r="E296" s="9"/>
      <c r="F296" s="8" t="b">
        <v>0</v>
      </c>
      <c r="G296" s="9"/>
      <c r="H296" s="8" t="b">
        <v>0</v>
      </c>
      <c r="I296" s="7"/>
      <c r="J296" s="9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10" t="s">
        <v>58</v>
      </c>
      <c r="B297" s="78" t="s">
        <v>28</v>
      </c>
      <c r="C297" s="73">
        <v>1.0</v>
      </c>
      <c r="D297" s="49" t="b">
        <v>1</v>
      </c>
      <c r="E297" s="49" t="s">
        <v>93</v>
      </c>
      <c r="F297" s="49" t="b">
        <v>0</v>
      </c>
      <c r="G297" s="50"/>
      <c r="H297" s="49" t="b">
        <v>0</v>
      </c>
      <c r="I297" s="51"/>
      <c r="J297" s="50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10" t="s">
        <v>58</v>
      </c>
      <c r="B298" s="79" t="s">
        <v>28</v>
      </c>
      <c r="C298" s="20">
        <v>2.0</v>
      </c>
      <c r="D298" s="8" t="b">
        <v>1</v>
      </c>
      <c r="E298" s="8" t="s">
        <v>94</v>
      </c>
      <c r="F298" s="8" t="b">
        <v>0</v>
      </c>
      <c r="G298" s="9"/>
      <c r="H298" s="8" t="b">
        <v>0</v>
      </c>
      <c r="I298" s="7"/>
      <c r="J298" s="9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10" t="s">
        <v>58</v>
      </c>
      <c r="B299" s="78" t="s">
        <v>28</v>
      </c>
      <c r="C299" s="32">
        <v>3.0</v>
      </c>
      <c r="D299" s="8" t="b">
        <v>1</v>
      </c>
      <c r="E299" s="8" t="s">
        <v>95</v>
      </c>
      <c r="F299" s="8" t="b">
        <v>0</v>
      </c>
      <c r="G299" s="9"/>
      <c r="H299" s="8" t="b">
        <v>0</v>
      </c>
      <c r="I299" s="7"/>
      <c r="J299" s="9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10" t="s">
        <v>58</v>
      </c>
      <c r="B300" s="79" t="s">
        <v>28</v>
      </c>
      <c r="C300" s="20">
        <v>4.0</v>
      </c>
      <c r="D300" s="8" t="b">
        <v>1</v>
      </c>
      <c r="E300" s="66" t="s">
        <v>96</v>
      </c>
      <c r="F300" s="8" t="b">
        <v>0</v>
      </c>
      <c r="G300" s="9"/>
      <c r="H300" s="8" t="b">
        <v>0</v>
      </c>
      <c r="I300" s="7"/>
      <c r="J300" s="9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10" t="s">
        <v>58</v>
      </c>
      <c r="B301" s="78" t="s">
        <v>28</v>
      </c>
      <c r="C301" s="32">
        <v>5.0</v>
      </c>
      <c r="D301" s="8" t="b">
        <v>1</v>
      </c>
      <c r="E301" s="8" t="s">
        <v>97</v>
      </c>
      <c r="F301" s="8" t="b">
        <v>0</v>
      </c>
      <c r="G301" s="9"/>
      <c r="H301" s="8" t="b">
        <v>0</v>
      </c>
      <c r="I301" s="7"/>
      <c r="J301" s="9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10" t="s">
        <v>58</v>
      </c>
      <c r="B302" s="79" t="s">
        <v>28</v>
      </c>
      <c r="C302" s="20">
        <v>6.0</v>
      </c>
      <c r="D302" s="8" t="b">
        <v>1</v>
      </c>
      <c r="E302" s="8" t="s">
        <v>98</v>
      </c>
      <c r="F302" s="8" t="b">
        <v>0</v>
      </c>
      <c r="G302" s="9"/>
      <c r="H302" s="8" t="b">
        <v>0</v>
      </c>
      <c r="I302" s="7"/>
      <c r="J302" s="9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10" t="s">
        <v>58</v>
      </c>
      <c r="B303" s="78" t="s">
        <v>28</v>
      </c>
      <c r="C303" s="68">
        <v>7.0</v>
      </c>
      <c r="D303" s="61" t="b">
        <v>1</v>
      </c>
      <c r="E303" s="77" t="s">
        <v>99</v>
      </c>
      <c r="F303" s="61" t="b">
        <v>0</v>
      </c>
      <c r="G303" s="64"/>
      <c r="H303" s="61" t="b">
        <v>0</v>
      </c>
      <c r="I303" s="65"/>
      <c r="J303" s="6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10" t="s">
        <v>58</v>
      </c>
      <c r="B304" s="80" t="s">
        <v>30</v>
      </c>
      <c r="C304" s="20">
        <v>1.0</v>
      </c>
      <c r="D304" s="8" t="b">
        <v>0</v>
      </c>
      <c r="E304" s="9"/>
      <c r="F304" s="8" t="b">
        <v>0</v>
      </c>
      <c r="G304" s="9"/>
      <c r="H304" s="8" t="b">
        <v>0</v>
      </c>
      <c r="I304" s="7"/>
      <c r="J304" s="9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10" t="s">
        <v>58</v>
      </c>
      <c r="B305" s="81" t="s">
        <v>30</v>
      </c>
      <c r="C305" s="22">
        <v>2.0</v>
      </c>
      <c r="D305" s="8" t="b">
        <v>1</v>
      </c>
      <c r="E305" s="66" t="s">
        <v>100</v>
      </c>
      <c r="F305" s="8" t="b">
        <v>0</v>
      </c>
      <c r="G305" s="9"/>
      <c r="H305" s="8" t="b">
        <v>0</v>
      </c>
      <c r="I305" s="7"/>
      <c r="J305" s="9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10" t="s">
        <v>58</v>
      </c>
      <c r="B306" s="80" t="s">
        <v>30</v>
      </c>
      <c r="C306" s="20">
        <v>3.0</v>
      </c>
      <c r="D306" s="8" t="b">
        <v>1</v>
      </c>
      <c r="E306" s="8" t="s">
        <v>101</v>
      </c>
      <c r="F306" s="8" t="b">
        <v>0</v>
      </c>
      <c r="G306" s="9"/>
      <c r="H306" s="8" t="b">
        <v>0</v>
      </c>
      <c r="I306" s="7"/>
      <c r="J306" s="9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10" t="s">
        <v>58</v>
      </c>
      <c r="B307" s="81" t="s">
        <v>30</v>
      </c>
      <c r="C307" s="22">
        <v>4.0</v>
      </c>
      <c r="D307" s="8" t="b">
        <v>1</v>
      </c>
      <c r="E307" s="66" t="s">
        <v>102</v>
      </c>
      <c r="F307" s="8" t="b">
        <v>0</v>
      </c>
      <c r="G307" s="9"/>
      <c r="H307" s="8" t="b">
        <v>0</v>
      </c>
      <c r="I307" s="7"/>
      <c r="J307" s="9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10" t="s">
        <v>58</v>
      </c>
      <c r="B308" s="80" t="s">
        <v>30</v>
      </c>
      <c r="C308" s="20">
        <v>5.0</v>
      </c>
      <c r="D308" s="8" t="b">
        <v>0</v>
      </c>
      <c r="E308" s="9"/>
      <c r="F308" s="8" t="b">
        <v>0</v>
      </c>
      <c r="G308" s="9"/>
      <c r="H308" s="8" t="b">
        <v>0</v>
      </c>
      <c r="I308" s="7"/>
      <c r="J308" s="9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10" t="s">
        <v>58</v>
      </c>
      <c r="B309" s="81" t="s">
        <v>30</v>
      </c>
      <c r="C309" s="22">
        <v>6.0</v>
      </c>
      <c r="D309" s="8" t="b">
        <v>1</v>
      </c>
      <c r="E309" s="8" t="s">
        <v>103</v>
      </c>
      <c r="F309" s="8" t="b">
        <v>0</v>
      </c>
      <c r="G309" s="9"/>
      <c r="H309" s="8" t="b">
        <v>0</v>
      </c>
      <c r="I309" s="7"/>
      <c r="J309" s="9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10" t="s">
        <v>58</v>
      </c>
      <c r="B310" s="80" t="s">
        <v>30</v>
      </c>
      <c r="C310" s="60">
        <v>7.0</v>
      </c>
      <c r="D310" s="61" t="b">
        <v>1</v>
      </c>
      <c r="E310" s="82" t="s">
        <v>104</v>
      </c>
      <c r="F310" s="61" t="b">
        <v>0</v>
      </c>
      <c r="G310" s="64"/>
      <c r="H310" s="61" t="b">
        <v>0</v>
      </c>
      <c r="I310" s="65"/>
      <c r="J310" s="6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10" t="s">
        <v>58</v>
      </c>
      <c r="B311" s="44" t="s">
        <v>33</v>
      </c>
      <c r="C311" s="32">
        <v>1.0</v>
      </c>
      <c r="D311" s="8" t="b">
        <v>1</v>
      </c>
      <c r="E311" s="8" t="s">
        <v>105</v>
      </c>
      <c r="F311" s="8" t="b">
        <v>0</v>
      </c>
      <c r="G311" s="9"/>
      <c r="H311" s="8" t="b">
        <v>0</v>
      </c>
      <c r="I311" s="7"/>
      <c r="J311" s="9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10" t="s">
        <v>58</v>
      </c>
      <c r="B312" s="45" t="s">
        <v>33</v>
      </c>
      <c r="C312" s="20">
        <v>2.0</v>
      </c>
      <c r="D312" s="8" t="b">
        <v>0</v>
      </c>
      <c r="E312" s="9"/>
      <c r="F312" s="8" t="b">
        <v>0</v>
      </c>
      <c r="G312" s="9"/>
      <c r="H312" s="8" t="b">
        <v>0</v>
      </c>
      <c r="I312" s="7"/>
      <c r="J312" s="9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10" t="s">
        <v>58</v>
      </c>
      <c r="B313" s="44" t="s">
        <v>33</v>
      </c>
      <c r="C313" s="32">
        <v>3.0</v>
      </c>
      <c r="D313" s="8" t="b">
        <v>1</v>
      </c>
      <c r="E313" s="8" t="s">
        <v>106</v>
      </c>
      <c r="F313" s="8" t="b">
        <v>0</v>
      </c>
      <c r="G313" s="9"/>
      <c r="H313" s="8" t="b">
        <v>0</v>
      </c>
      <c r="I313" s="7"/>
      <c r="J313" s="9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10" t="s">
        <v>58</v>
      </c>
      <c r="B314" s="45" t="s">
        <v>33</v>
      </c>
      <c r="C314" s="20">
        <v>4.0</v>
      </c>
      <c r="D314" s="8" t="b">
        <v>1</v>
      </c>
      <c r="E314" s="8" t="s">
        <v>107</v>
      </c>
      <c r="F314" s="8" t="b">
        <v>0</v>
      </c>
      <c r="G314" s="9"/>
      <c r="H314" s="8" t="b">
        <v>0</v>
      </c>
      <c r="I314" s="7"/>
      <c r="J314" s="9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10" t="s">
        <v>58</v>
      </c>
      <c r="B315" s="44" t="s">
        <v>33</v>
      </c>
      <c r="C315" s="32">
        <v>5.0</v>
      </c>
      <c r="D315" s="8" t="b">
        <v>0</v>
      </c>
      <c r="E315" s="9"/>
      <c r="F315" s="8" t="b">
        <v>0</v>
      </c>
      <c r="G315" s="9"/>
      <c r="H315" s="8" t="b">
        <v>0</v>
      </c>
      <c r="I315" s="7"/>
      <c r="J315" s="9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10" t="s">
        <v>58</v>
      </c>
      <c r="B316" s="45" t="s">
        <v>33</v>
      </c>
      <c r="C316" s="20">
        <v>6.0</v>
      </c>
      <c r="D316" s="8" t="b">
        <v>0</v>
      </c>
      <c r="E316" s="9"/>
      <c r="F316" s="8" t="b">
        <v>0</v>
      </c>
      <c r="G316" s="9"/>
      <c r="H316" s="8" t="b">
        <v>0</v>
      </c>
      <c r="I316" s="7"/>
      <c r="J316" s="9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10" t="s">
        <v>58</v>
      </c>
      <c r="B317" s="83" t="s">
        <v>33</v>
      </c>
      <c r="C317" s="47">
        <v>7.0</v>
      </c>
      <c r="D317" s="8" t="b">
        <v>1</v>
      </c>
      <c r="E317" s="8" t="s">
        <v>108</v>
      </c>
      <c r="F317" s="8" t="b">
        <v>0</v>
      </c>
      <c r="G317" s="9"/>
      <c r="H317" s="8" t="b">
        <v>0</v>
      </c>
      <c r="I317" s="7"/>
      <c r="J317" s="9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54" t="s">
        <v>58</v>
      </c>
      <c r="B318" s="84" t="s">
        <v>35</v>
      </c>
      <c r="C318" s="48">
        <v>1.0</v>
      </c>
      <c r="D318" s="49" t="b">
        <v>1</v>
      </c>
      <c r="E318" s="49" t="s">
        <v>109</v>
      </c>
      <c r="F318" s="49" t="b">
        <v>1</v>
      </c>
      <c r="G318" s="49" t="s">
        <v>110</v>
      </c>
      <c r="H318" s="49" t="b">
        <v>1</v>
      </c>
      <c r="I318" s="85">
        <v>46226.0</v>
      </c>
      <c r="J318" s="49">
        <v>26.0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10" t="s">
        <v>58</v>
      </c>
      <c r="B319" s="86" t="s">
        <v>35</v>
      </c>
      <c r="C319" s="20">
        <v>2.0</v>
      </c>
      <c r="D319" s="8" t="b">
        <v>1</v>
      </c>
      <c r="E319" s="8" t="s">
        <v>111</v>
      </c>
      <c r="F319" s="8" t="b">
        <v>1</v>
      </c>
      <c r="G319" s="8" t="s">
        <v>112</v>
      </c>
      <c r="H319" s="8" t="b">
        <v>1</v>
      </c>
      <c r="I319" s="57">
        <v>46226.0</v>
      </c>
      <c r="J319" s="8">
        <v>27.0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10" t="s">
        <v>58</v>
      </c>
      <c r="B320" s="86" t="s">
        <v>35</v>
      </c>
      <c r="C320" s="22">
        <v>3.0</v>
      </c>
      <c r="D320" s="8" t="b">
        <v>1</v>
      </c>
      <c r="E320" s="8" t="s">
        <v>113</v>
      </c>
      <c r="F320" s="8" t="b">
        <v>1</v>
      </c>
      <c r="G320" s="8" t="s">
        <v>114</v>
      </c>
      <c r="H320" s="8" t="b">
        <v>1</v>
      </c>
      <c r="I320" s="57">
        <v>46226.0</v>
      </c>
      <c r="J320" s="8">
        <v>25.0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10" t="s">
        <v>58</v>
      </c>
      <c r="B321" s="86" t="s">
        <v>35</v>
      </c>
      <c r="C321" s="20">
        <v>4.0</v>
      </c>
      <c r="D321" s="8" t="b">
        <v>1</v>
      </c>
      <c r="E321" s="8" t="s">
        <v>115</v>
      </c>
      <c r="F321" s="8" t="b">
        <v>0</v>
      </c>
      <c r="G321" s="9"/>
      <c r="H321" s="8" t="b">
        <v>0</v>
      </c>
      <c r="I321" s="7"/>
      <c r="J321" s="9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10" t="s">
        <v>58</v>
      </c>
      <c r="B322" s="86" t="s">
        <v>35</v>
      </c>
      <c r="C322" s="22">
        <v>5.0</v>
      </c>
      <c r="D322" s="8" t="b">
        <v>1</v>
      </c>
      <c r="E322" s="8" t="s">
        <v>116</v>
      </c>
      <c r="F322" s="8" t="b">
        <v>0</v>
      </c>
      <c r="G322" s="9"/>
      <c r="H322" s="8" t="b">
        <v>0</v>
      </c>
      <c r="I322" s="7"/>
      <c r="J322" s="9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10" t="s">
        <v>58</v>
      </c>
      <c r="B323" s="86" t="s">
        <v>35</v>
      </c>
      <c r="C323" s="20">
        <v>6.0</v>
      </c>
      <c r="D323" s="8" t="b">
        <v>1</v>
      </c>
      <c r="E323" s="8" t="s">
        <v>117</v>
      </c>
      <c r="F323" s="8" t="b">
        <v>1</v>
      </c>
      <c r="G323" s="8" t="s">
        <v>118</v>
      </c>
      <c r="H323" s="8" t="b">
        <v>1</v>
      </c>
      <c r="I323" s="57">
        <v>46226.0</v>
      </c>
      <c r="J323" s="8">
        <v>27.0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58" t="s">
        <v>58</v>
      </c>
      <c r="B324" s="87" t="s">
        <v>35</v>
      </c>
      <c r="C324" s="63">
        <v>7.0</v>
      </c>
      <c r="D324" s="61" t="b">
        <v>1</v>
      </c>
      <c r="E324" s="61" t="s">
        <v>119</v>
      </c>
      <c r="F324" s="61" t="b">
        <v>1</v>
      </c>
      <c r="G324" s="61" t="s">
        <v>120</v>
      </c>
      <c r="H324" s="61" t="b">
        <v>1</v>
      </c>
      <c r="I324" s="62">
        <v>46226.0</v>
      </c>
      <c r="J324" s="61">
        <v>19.0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10" t="s">
        <v>121</v>
      </c>
      <c r="B325" s="21" t="s">
        <v>11</v>
      </c>
      <c r="C325" s="22">
        <v>1.0</v>
      </c>
      <c r="D325" s="8" t="b">
        <v>0</v>
      </c>
      <c r="E325" s="9"/>
      <c r="F325" s="8" t="b">
        <v>0</v>
      </c>
      <c r="G325" s="9"/>
      <c r="H325" s="8" t="b">
        <v>0</v>
      </c>
      <c r="I325" s="7"/>
      <c r="J325" s="9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10" t="s">
        <v>121</v>
      </c>
      <c r="B326" s="19" t="s">
        <v>11</v>
      </c>
      <c r="C326" s="20">
        <v>2.0</v>
      </c>
      <c r="D326" s="8" t="b">
        <v>1</v>
      </c>
      <c r="E326" s="8" t="s">
        <v>122</v>
      </c>
      <c r="F326" s="8" t="b">
        <v>0</v>
      </c>
      <c r="G326" s="9"/>
      <c r="H326" s="8" t="b">
        <v>0</v>
      </c>
      <c r="I326" s="7"/>
      <c r="J326" s="9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10" t="s">
        <v>121</v>
      </c>
      <c r="B327" s="21" t="s">
        <v>11</v>
      </c>
      <c r="C327" s="22">
        <v>3.0</v>
      </c>
      <c r="D327" s="8" t="b">
        <v>1</v>
      </c>
      <c r="E327" s="8" t="s">
        <v>123</v>
      </c>
      <c r="F327" s="8" t="b">
        <v>0</v>
      </c>
      <c r="G327" s="9"/>
      <c r="H327" s="8" t="b">
        <v>0</v>
      </c>
      <c r="I327" s="7"/>
      <c r="J327" s="9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10" t="s">
        <v>121</v>
      </c>
      <c r="B328" s="19" t="s">
        <v>11</v>
      </c>
      <c r="C328" s="20">
        <v>4.0</v>
      </c>
      <c r="D328" s="8" t="b">
        <v>1</v>
      </c>
      <c r="E328" s="8" t="s">
        <v>124</v>
      </c>
      <c r="F328" s="8" t="b">
        <v>0</v>
      </c>
      <c r="G328" s="9"/>
      <c r="H328" s="8" t="b">
        <v>0</v>
      </c>
      <c r="I328" s="7"/>
      <c r="J328" s="9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10" t="s">
        <v>121</v>
      </c>
      <c r="B329" s="21" t="s">
        <v>11</v>
      </c>
      <c r="C329" s="22">
        <v>5.0</v>
      </c>
      <c r="D329" s="8" t="b">
        <v>1</v>
      </c>
      <c r="E329" s="8" t="s">
        <v>125</v>
      </c>
      <c r="F329" s="8" t="b">
        <v>0</v>
      </c>
      <c r="G329" s="9"/>
      <c r="H329" s="8" t="b">
        <v>0</v>
      </c>
      <c r="I329" s="7"/>
      <c r="J329" s="9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10" t="s">
        <v>121</v>
      </c>
      <c r="B330" s="19" t="s">
        <v>11</v>
      </c>
      <c r="C330" s="20">
        <v>6.0</v>
      </c>
      <c r="D330" s="8" t="b">
        <v>1</v>
      </c>
      <c r="E330" s="8" t="s">
        <v>126</v>
      </c>
      <c r="F330" s="8" t="b">
        <v>0</v>
      </c>
      <c r="G330" s="9"/>
      <c r="H330" s="8" t="b">
        <v>0</v>
      </c>
      <c r="I330" s="7"/>
      <c r="J330" s="9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58" t="s">
        <v>121</v>
      </c>
      <c r="B331" s="88" t="s">
        <v>11</v>
      </c>
      <c r="C331" s="63">
        <v>7.0</v>
      </c>
      <c r="D331" s="61" t="b">
        <v>1</v>
      </c>
      <c r="E331" s="61" t="s">
        <v>127</v>
      </c>
      <c r="F331" s="61" t="b">
        <v>0</v>
      </c>
      <c r="G331" s="64"/>
      <c r="H331" s="61" t="b">
        <v>0</v>
      </c>
      <c r="I331" s="65"/>
      <c r="J331" s="9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10" t="s">
        <v>121</v>
      </c>
      <c r="B332" s="23" t="s">
        <v>12</v>
      </c>
      <c r="C332" s="20">
        <v>1.0</v>
      </c>
      <c r="D332" s="8" t="b">
        <v>1</v>
      </c>
      <c r="E332" s="8" t="s">
        <v>128</v>
      </c>
      <c r="F332" s="8" t="b">
        <v>0</v>
      </c>
      <c r="G332" s="9"/>
      <c r="H332" s="8" t="b">
        <v>0</v>
      </c>
      <c r="I332" s="7"/>
      <c r="J332" s="50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10" t="s">
        <v>121</v>
      </c>
      <c r="B333" s="24" t="s">
        <v>12</v>
      </c>
      <c r="C333" s="22">
        <v>2.0</v>
      </c>
      <c r="D333" s="8" t="b">
        <v>1</v>
      </c>
      <c r="E333" s="8" t="s">
        <v>129</v>
      </c>
      <c r="F333" s="8" t="b">
        <v>0</v>
      </c>
      <c r="G333" s="9"/>
      <c r="H333" s="8" t="b">
        <v>0</v>
      </c>
      <c r="I333" s="7"/>
      <c r="J333" s="9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10" t="s">
        <v>121</v>
      </c>
      <c r="B334" s="23" t="s">
        <v>12</v>
      </c>
      <c r="C334" s="20">
        <v>3.0</v>
      </c>
      <c r="D334" s="8" t="b">
        <v>1</v>
      </c>
      <c r="E334" s="8" t="s">
        <v>130</v>
      </c>
      <c r="F334" s="8" t="b">
        <v>0</v>
      </c>
      <c r="G334" s="9"/>
      <c r="H334" s="8" t="b">
        <v>0</v>
      </c>
      <c r="I334" s="7"/>
      <c r="J334" s="9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10" t="s">
        <v>121</v>
      </c>
      <c r="B335" s="24" t="s">
        <v>12</v>
      </c>
      <c r="C335" s="22">
        <v>4.0</v>
      </c>
      <c r="D335" s="8" t="b">
        <v>1</v>
      </c>
      <c r="E335" s="8" t="s">
        <v>131</v>
      </c>
      <c r="F335" s="8" t="b">
        <v>0</v>
      </c>
      <c r="G335" s="9"/>
      <c r="H335" s="8" t="b">
        <v>0</v>
      </c>
      <c r="I335" s="7"/>
      <c r="J335" s="9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10" t="s">
        <v>121</v>
      </c>
      <c r="B336" s="23" t="s">
        <v>12</v>
      </c>
      <c r="C336" s="20">
        <v>5.0</v>
      </c>
      <c r="D336" s="8" t="b">
        <v>1</v>
      </c>
      <c r="E336" s="8" t="s">
        <v>132</v>
      </c>
      <c r="F336" s="8" t="b">
        <v>0</v>
      </c>
      <c r="G336" s="9"/>
      <c r="H336" s="8" t="b">
        <v>0</v>
      </c>
      <c r="I336" s="7"/>
      <c r="J336" s="9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10" t="s">
        <v>121</v>
      </c>
      <c r="B337" s="24" t="s">
        <v>12</v>
      </c>
      <c r="C337" s="22">
        <v>6.0</v>
      </c>
      <c r="D337" s="8" t="b">
        <v>1</v>
      </c>
      <c r="E337" s="8" t="s">
        <v>133</v>
      </c>
      <c r="F337" s="8" t="b">
        <v>0</v>
      </c>
      <c r="G337" s="9"/>
      <c r="H337" s="8" t="b">
        <v>0</v>
      </c>
      <c r="I337" s="7"/>
      <c r="J337" s="9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58" t="s">
        <v>121</v>
      </c>
      <c r="B338" s="59" t="s">
        <v>12</v>
      </c>
      <c r="C338" s="60">
        <v>7.0</v>
      </c>
      <c r="D338" s="61" t="b">
        <v>0</v>
      </c>
      <c r="E338" s="64"/>
      <c r="F338" s="61" t="b">
        <v>0</v>
      </c>
      <c r="G338" s="64"/>
      <c r="H338" s="61" t="b">
        <v>0</v>
      </c>
      <c r="I338" s="65"/>
      <c r="J338" s="6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10" t="s">
        <v>121</v>
      </c>
      <c r="B339" s="26" t="s">
        <v>13</v>
      </c>
      <c r="C339" s="22">
        <v>1.0</v>
      </c>
      <c r="D339" s="8" t="b">
        <v>1</v>
      </c>
      <c r="E339" s="8" t="s">
        <v>134</v>
      </c>
      <c r="F339" s="8" t="b">
        <v>0</v>
      </c>
      <c r="G339" s="9"/>
      <c r="H339" s="8" t="b">
        <v>0</v>
      </c>
      <c r="I339" s="7"/>
      <c r="J339" s="9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10" t="s">
        <v>121</v>
      </c>
      <c r="B340" s="27" t="s">
        <v>13</v>
      </c>
      <c r="C340" s="20">
        <v>2.0</v>
      </c>
      <c r="D340" s="8" t="b">
        <v>0</v>
      </c>
      <c r="E340" s="9"/>
      <c r="F340" s="8" t="b">
        <v>0</v>
      </c>
      <c r="G340" s="9"/>
      <c r="H340" s="8" t="b">
        <v>0</v>
      </c>
      <c r="I340" s="7"/>
      <c r="J340" s="9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10" t="s">
        <v>121</v>
      </c>
      <c r="B341" s="26" t="s">
        <v>13</v>
      </c>
      <c r="C341" s="22">
        <v>3.0</v>
      </c>
      <c r="D341" s="8" t="b">
        <v>1</v>
      </c>
      <c r="E341" s="8" t="s">
        <v>135</v>
      </c>
      <c r="F341" s="8" t="b">
        <v>0</v>
      </c>
      <c r="G341" s="9"/>
      <c r="H341" s="8" t="b">
        <v>0</v>
      </c>
      <c r="I341" s="7"/>
      <c r="J341" s="9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10" t="s">
        <v>121</v>
      </c>
      <c r="B342" s="27" t="s">
        <v>13</v>
      </c>
      <c r="C342" s="20">
        <v>4.0</v>
      </c>
      <c r="D342" s="8" t="b">
        <v>1</v>
      </c>
      <c r="E342" s="8" t="s">
        <v>136</v>
      </c>
      <c r="F342" s="8" t="b">
        <v>0</v>
      </c>
      <c r="G342" s="9"/>
      <c r="H342" s="8" t="b">
        <v>0</v>
      </c>
      <c r="I342" s="7"/>
      <c r="J342" s="9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10" t="s">
        <v>121</v>
      </c>
      <c r="B343" s="26" t="s">
        <v>13</v>
      </c>
      <c r="C343" s="22">
        <v>5.0</v>
      </c>
      <c r="D343" s="8" t="b">
        <v>0</v>
      </c>
      <c r="E343" s="9"/>
      <c r="F343" s="8" t="b">
        <v>0</v>
      </c>
      <c r="G343" s="9"/>
      <c r="H343" s="8" t="b">
        <v>0</v>
      </c>
      <c r="I343" s="7"/>
      <c r="J343" s="9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10" t="s">
        <v>121</v>
      </c>
      <c r="B344" s="27" t="s">
        <v>13</v>
      </c>
      <c r="C344" s="20">
        <v>6.0</v>
      </c>
      <c r="D344" s="8" t="b">
        <v>1</v>
      </c>
      <c r="E344" s="8" t="s">
        <v>137</v>
      </c>
      <c r="F344" s="8" t="b">
        <v>0</v>
      </c>
      <c r="G344" s="9"/>
      <c r="H344" s="8" t="b">
        <v>0</v>
      </c>
      <c r="I344" s="7"/>
      <c r="J344" s="9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58" t="s">
        <v>121</v>
      </c>
      <c r="B345" s="89" t="s">
        <v>13</v>
      </c>
      <c r="C345" s="63">
        <v>7.0</v>
      </c>
      <c r="D345" s="61" t="b">
        <v>0</v>
      </c>
      <c r="E345" s="64"/>
      <c r="F345" s="61" t="b">
        <v>0</v>
      </c>
      <c r="G345" s="64"/>
      <c r="H345" s="61" t="b">
        <v>0</v>
      </c>
      <c r="I345" s="65"/>
      <c r="J345" s="6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10" t="s">
        <v>121</v>
      </c>
      <c r="B346" s="28" t="s">
        <v>16</v>
      </c>
      <c r="C346" s="20">
        <v>1.0</v>
      </c>
      <c r="D346" s="8" t="b">
        <v>0</v>
      </c>
      <c r="E346" s="9"/>
      <c r="F346" s="8" t="b">
        <v>0</v>
      </c>
      <c r="G346" s="9"/>
      <c r="H346" s="8" t="b">
        <v>0</v>
      </c>
      <c r="I346" s="7"/>
      <c r="J346" s="9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10" t="s">
        <v>121</v>
      </c>
      <c r="B347" s="29" t="s">
        <v>16</v>
      </c>
      <c r="C347" s="22">
        <v>2.0</v>
      </c>
      <c r="D347" s="8" t="b">
        <v>0</v>
      </c>
      <c r="E347" s="9"/>
      <c r="F347" s="8" t="b">
        <v>0</v>
      </c>
      <c r="G347" s="9"/>
      <c r="H347" s="8" t="b">
        <v>0</v>
      </c>
      <c r="I347" s="7"/>
      <c r="J347" s="9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10" t="s">
        <v>121</v>
      </c>
      <c r="B348" s="28" t="s">
        <v>16</v>
      </c>
      <c r="C348" s="20">
        <v>3.0</v>
      </c>
      <c r="D348" s="8" t="b">
        <v>0</v>
      </c>
      <c r="E348" s="9"/>
      <c r="F348" s="8" t="b">
        <v>0</v>
      </c>
      <c r="G348" s="9"/>
      <c r="H348" s="8" t="b">
        <v>0</v>
      </c>
      <c r="I348" s="7"/>
      <c r="J348" s="9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10" t="s">
        <v>121</v>
      </c>
      <c r="B349" s="29" t="s">
        <v>16</v>
      </c>
      <c r="C349" s="22">
        <v>4.0</v>
      </c>
      <c r="D349" s="8" t="b">
        <v>0</v>
      </c>
      <c r="E349" s="9"/>
      <c r="F349" s="8" t="b">
        <v>0</v>
      </c>
      <c r="G349" s="9"/>
      <c r="H349" s="8" t="b">
        <v>0</v>
      </c>
      <c r="I349" s="7"/>
      <c r="J349" s="9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10" t="s">
        <v>121</v>
      </c>
      <c r="B350" s="28" t="s">
        <v>16</v>
      </c>
      <c r="C350" s="20">
        <v>5.0</v>
      </c>
      <c r="D350" s="8" t="b">
        <v>0</v>
      </c>
      <c r="E350" s="9"/>
      <c r="F350" s="8" t="b">
        <v>0</v>
      </c>
      <c r="G350" s="9"/>
      <c r="H350" s="8" t="b">
        <v>0</v>
      </c>
      <c r="I350" s="7"/>
      <c r="J350" s="9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10" t="s">
        <v>121</v>
      </c>
      <c r="B351" s="29" t="s">
        <v>16</v>
      </c>
      <c r="C351" s="22">
        <v>6.0</v>
      </c>
      <c r="D351" s="8" t="b">
        <v>0</v>
      </c>
      <c r="E351" s="9"/>
      <c r="F351" s="8" t="b">
        <v>0</v>
      </c>
      <c r="G351" s="9"/>
      <c r="H351" s="8" t="b">
        <v>0</v>
      </c>
      <c r="I351" s="7"/>
      <c r="J351" s="9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10" t="s">
        <v>121</v>
      </c>
      <c r="B352" s="28" t="s">
        <v>16</v>
      </c>
      <c r="C352" s="71">
        <v>7.0</v>
      </c>
      <c r="D352" s="8" t="b">
        <v>0</v>
      </c>
      <c r="E352" s="9"/>
      <c r="F352" s="8" t="b">
        <v>0</v>
      </c>
      <c r="G352" s="64"/>
      <c r="H352" s="61" t="b">
        <v>0</v>
      </c>
      <c r="I352" s="65"/>
      <c r="J352" s="6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10" t="s">
        <v>121</v>
      </c>
      <c r="B353" s="31" t="s">
        <v>17</v>
      </c>
      <c r="C353" s="73">
        <v>1.0</v>
      </c>
      <c r="D353" s="49" t="b">
        <v>1</v>
      </c>
      <c r="E353" s="49" t="s">
        <v>138</v>
      </c>
      <c r="F353" s="49" t="b">
        <v>0</v>
      </c>
      <c r="G353" s="50"/>
      <c r="H353" s="8" t="b">
        <v>0</v>
      </c>
      <c r="I353" s="7"/>
      <c r="J353" s="9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10" t="s">
        <v>121</v>
      </c>
      <c r="B354" s="33" t="s">
        <v>17</v>
      </c>
      <c r="C354" s="20">
        <v>2.0</v>
      </c>
      <c r="D354" s="8" t="b">
        <v>1</v>
      </c>
      <c r="E354" s="8" t="s">
        <v>139</v>
      </c>
      <c r="F354" s="8" t="b">
        <v>0</v>
      </c>
      <c r="G354" s="9"/>
      <c r="H354" s="8" t="b">
        <v>0</v>
      </c>
      <c r="I354" s="7"/>
      <c r="J354" s="9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10" t="s">
        <v>121</v>
      </c>
      <c r="B355" s="31" t="s">
        <v>17</v>
      </c>
      <c r="C355" s="32">
        <v>3.0</v>
      </c>
      <c r="D355" s="8" t="b">
        <v>0</v>
      </c>
      <c r="E355" s="9"/>
      <c r="F355" s="8" t="b">
        <v>0</v>
      </c>
      <c r="G355" s="9"/>
      <c r="H355" s="8" t="b">
        <v>0</v>
      </c>
      <c r="I355" s="7"/>
      <c r="J355" s="9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10" t="s">
        <v>121</v>
      </c>
      <c r="B356" s="33" t="s">
        <v>17</v>
      </c>
      <c r="C356" s="20">
        <v>4.0</v>
      </c>
      <c r="D356" s="8" t="b">
        <v>1</v>
      </c>
      <c r="E356" s="8" t="s">
        <v>140</v>
      </c>
      <c r="F356" s="8" t="b">
        <v>0</v>
      </c>
      <c r="G356" s="9"/>
      <c r="H356" s="8" t="b">
        <v>0</v>
      </c>
      <c r="I356" s="7"/>
      <c r="J356" s="9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10" t="s">
        <v>121</v>
      </c>
      <c r="B357" s="31" t="s">
        <v>17</v>
      </c>
      <c r="C357" s="32">
        <v>5.0</v>
      </c>
      <c r="D357" s="8" t="b">
        <v>1</v>
      </c>
      <c r="E357" s="8" t="s">
        <v>141</v>
      </c>
      <c r="F357" s="8" t="b">
        <v>0</v>
      </c>
      <c r="G357" s="9"/>
      <c r="H357" s="8" t="b">
        <v>0</v>
      </c>
      <c r="I357" s="7"/>
      <c r="J357" s="9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10" t="s">
        <v>121</v>
      </c>
      <c r="B358" s="33" t="s">
        <v>17</v>
      </c>
      <c r="C358" s="20">
        <v>6.0</v>
      </c>
      <c r="D358" s="8" t="b">
        <v>0</v>
      </c>
      <c r="E358" s="9"/>
      <c r="F358" s="8" t="b">
        <v>0</v>
      </c>
      <c r="G358" s="9"/>
      <c r="H358" s="8" t="b">
        <v>0</v>
      </c>
      <c r="I358" s="7"/>
      <c r="J358" s="9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10" t="s">
        <v>121</v>
      </c>
      <c r="B359" s="31" t="s">
        <v>17</v>
      </c>
      <c r="C359" s="47">
        <v>7.0</v>
      </c>
      <c r="D359" s="8" t="b">
        <v>0</v>
      </c>
      <c r="E359" s="9"/>
      <c r="F359" s="8" t="b">
        <v>0</v>
      </c>
      <c r="G359" s="64"/>
      <c r="H359" s="61" t="b">
        <v>0</v>
      </c>
      <c r="I359" s="65"/>
      <c r="J359" s="6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10" t="s">
        <v>121</v>
      </c>
      <c r="B360" s="69" t="s">
        <v>20</v>
      </c>
      <c r="C360" s="56">
        <v>1.0</v>
      </c>
      <c r="D360" s="49" t="b">
        <v>0</v>
      </c>
      <c r="E360" s="50"/>
      <c r="F360" s="49" t="b">
        <v>0</v>
      </c>
      <c r="G360" s="50"/>
      <c r="H360" s="8" t="b">
        <v>0</v>
      </c>
      <c r="I360" s="7"/>
      <c r="J360" s="9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10" t="s">
        <v>121</v>
      </c>
      <c r="B361" s="70" t="s">
        <v>20</v>
      </c>
      <c r="C361" s="22">
        <v>2.0</v>
      </c>
      <c r="D361" s="8" t="b">
        <v>0</v>
      </c>
      <c r="E361" s="9"/>
      <c r="F361" s="8" t="b">
        <v>0</v>
      </c>
      <c r="G361" s="9"/>
      <c r="H361" s="8" t="b">
        <v>0</v>
      </c>
      <c r="I361" s="7"/>
      <c r="J361" s="9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10" t="s">
        <v>121</v>
      </c>
      <c r="B362" s="69" t="s">
        <v>20</v>
      </c>
      <c r="C362" s="20">
        <v>3.0</v>
      </c>
      <c r="D362" s="8" t="b">
        <v>0</v>
      </c>
      <c r="E362" s="9"/>
      <c r="F362" s="8" t="b">
        <v>0</v>
      </c>
      <c r="G362" s="9"/>
      <c r="H362" s="8" t="b">
        <v>0</v>
      </c>
      <c r="I362" s="7"/>
      <c r="J362" s="9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10" t="s">
        <v>121</v>
      </c>
      <c r="B363" s="70" t="s">
        <v>20</v>
      </c>
      <c r="C363" s="22">
        <v>4.0</v>
      </c>
      <c r="D363" s="8" t="b">
        <v>0</v>
      </c>
      <c r="E363" s="9"/>
      <c r="F363" s="8" t="b">
        <v>0</v>
      </c>
      <c r="G363" s="9"/>
      <c r="H363" s="8" t="b">
        <v>0</v>
      </c>
      <c r="I363" s="7"/>
      <c r="J363" s="9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10" t="s">
        <v>121</v>
      </c>
      <c r="B364" s="69" t="s">
        <v>20</v>
      </c>
      <c r="C364" s="20">
        <v>5.0</v>
      </c>
      <c r="D364" s="8" t="b">
        <v>0</v>
      </c>
      <c r="E364" s="9"/>
      <c r="F364" s="8" t="b">
        <v>0</v>
      </c>
      <c r="G364" s="9"/>
      <c r="H364" s="8" t="b">
        <v>0</v>
      </c>
      <c r="I364" s="7"/>
      <c r="J364" s="9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10" t="s">
        <v>121</v>
      </c>
      <c r="B365" s="70" t="s">
        <v>20</v>
      </c>
      <c r="C365" s="22">
        <v>6.0</v>
      </c>
      <c r="D365" s="8" t="b">
        <v>0</v>
      </c>
      <c r="E365" s="9"/>
      <c r="F365" s="8" t="b">
        <v>0</v>
      </c>
      <c r="G365" s="9"/>
      <c r="H365" s="8" t="b">
        <v>0</v>
      </c>
      <c r="I365" s="7"/>
      <c r="J365" s="9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10" t="s">
        <v>121</v>
      </c>
      <c r="B366" s="69" t="s">
        <v>20</v>
      </c>
      <c r="C366" s="60">
        <v>7.0</v>
      </c>
      <c r="D366" s="61" t="b">
        <v>0</v>
      </c>
      <c r="E366" s="64"/>
      <c r="F366" s="61" t="b">
        <v>0</v>
      </c>
      <c r="G366" s="64"/>
      <c r="H366" s="8" t="b">
        <v>0</v>
      </c>
      <c r="I366" s="7"/>
      <c r="J366" s="9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10" t="s">
        <v>121</v>
      </c>
      <c r="B367" s="72" t="s">
        <v>21</v>
      </c>
      <c r="C367" s="32">
        <v>1.0</v>
      </c>
      <c r="D367" s="8" t="b">
        <v>0</v>
      </c>
      <c r="E367" s="9"/>
      <c r="F367" s="8" t="b">
        <v>0</v>
      </c>
      <c r="G367" s="9"/>
      <c r="H367" s="8" t="b">
        <v>0</v>
      </c>
      <c r="I367" s="7"/>
      <c r="J367" s="9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10" t="s">
        <v>121</v>
      </c>
      <c r="B368" s="74" t="s">
        <v>21</v>
      </c>
      <c r="C368" s="20">
        <v>2.0</v>
      </c>
      <c r="D368" s="8" t="b">
        <v>0</v>
      </c>
      <c r="E368" s="9"/>
      <c r="F368" s="8" t="b">
        <v>0</v>
      </c>
      <c r="G368" s="9"/>
      <c r="H368" s="8" t="b">
        <v>0</v>
      </c>
      <c r="I368" s="7"/>
      <c r="J368" s="9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10" t="s">
        <v>121</v>
      </c>
      <c r="B369" s="72" t="s">
        <v>21</v>
      </c>
      <c r="C369" s="32">
        <v>3.0</v>
      </c>
      <c r="D369" s="8" t="b">
        <v>0</v>
      </c>
      <c r="E369" s="9"/>
      <c r="F369" s="8" t="b">
        <v>0</v>
      </c>
      <c r="G369" s="9"/>
      <c r="H369" s="8" t="b">
        <v>0</v>
      </c>
      <c r="I369" s="7"/>
      <c r="J369" s="9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10" t="s">
        <v>121</v>
      </c>
      <c r="B370" s="74" t="s">
        <v>21</v>
      </c>
      <c r="C370" s="20">
        <v>4.0</v>
      </c>
      <c r="D370" s="8" t="b">
        <v>0</v>
      </c>
      <c r="E370" s="9"/>
      <c r="F370" s="8" t="b">
        <v>0</v>
      </c>
      <c r="G370" s="9"/>
      <c r="H370" s="8" t="b">
        <v>0</v>
      </c>
      <c r="I370" s="7"/>
      <c r="J370" s="9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10" t="s">
        <v>121</v>
      </c>
      <c r="B371" s="72" t="s">
        <v>21</v>
      </c>
      <c r="C371" s="32">
        <v>5.0</v>
      </c>
      <c r="D371" s="8" t="b">
        <v>0</v>
      </c>
      <c r="E371" s="9"/>
      <c r="F371" s="8" t="b">
        <v>0</v>
      </c>
      <c r="G371" s="9"/>
      <c r="H371" s="8" t="b">
        <v>0</v>
      </c>
      <c r="I371" s="7"/>
      <c r="J371" s="9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10" t="s">
        <v>121</v>
      </c>
      <c r="B372" s="74" t="s">
        <v>21</v>
      </c>
      <c r="C372" s="20">
        <v>6.0</v>
      </c>
      <c r="D372" s="8" t="b">
        <v>0</v>
      </c>
      <c r="E372" s="9"/>
      <c r="F372" s="8" t="b">
        <v>0</v>
      </c>
      <c r="G372" s="9"/>
      <c r="H372" s="8" t="b">
        <v>0</v>
      </c>
      <c r="I372" s="7"/>
      <c r="J372" s="9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10" t="s">
        <v>121</v>
      </c>
      <c r="B373" s="72" t="s">
        <v>21</v>
      </c>
      <c r="C373" s="35">
        <v>7.0</v>
      </c>
      <c r="D373" s="8" t="b">
        <v>0</v>
      </c>
      <c r="E373" s="9"/>
      <c r="F373" s="8" t="b">
        <v>0</v>
      </c>
      <c r="G373" s="9"/>
      <c r="H373" s="8" t="b">
        <v>0</v>
      </c>
      <c r="I373" s="7"/>
      <c r="J373" s="9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10" t="s">
        <v>121</v>
      </c>
      <c r="B374" s="75" t="s">
        <v>23</v>
      </c>
      <c r="C374" s="20">
        <v>1.0</v>
      </c>
      <c r="D374" s="8" t="b">
        <v>0</v>
      </c>
      <c r="E374" s="9"/>
      <c r="F374" s="8" t="b">
        <v>0</v>
      </c>
      <c r="G374" s="9"/>
      <c r="H374" s="8" t="b">
        <v>0</v>
      </c>
      <c r="I374" s="7"/>
      <c r="J374" s="9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10" t="s">
        <v>121</v>
      </c>
      <c r="B375" s="76" t="s">
        <v>23</v>
      </c>
      <c r="C375" s="22">
        <v>2.0</v>
      </c>
      <c r="D375" s="8" t="b">
        <v>0</v>
      </c>
      <c r="E375" s="9"/>
      <c r="F375" s="8" t="b">
        <v>0</v>
      </c>
      <c r="G375" s="9"/>
      <c r="H375" s="8" t="b">
        <v>0</v>
      </c>
      <c r="I375" s="7"/>
      <c r="J375" s="9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10" t="s">
        <v>121</v>
      </c>
      <c r="B376" s="75" t="s">
        <v>23</v>
      </c>
      <c r="C376" s="20">
        <v>3.0</v>
      </c>
      <c r="D376" s="8" t="b">
        <v>0</v>
      </c>
      <c r="E376" s="9"/>
      <c r="F376" s="8" t="b">
        <v>0</v>
      </c>
      <c r="G376" s="9"/>
      <c r="H376" s="8" t="b">
        <v>0</v>
      </c>
      <c r="I376" s="7"/>
      <c r="J376" s="9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10" t="s">
        <v>121</v>
      </c>
      <c r="B377" s="76" t="s">
        <v>23</v>
      </c>
      <c r="C377" s="22">
        <v>4.0</v>
      </c>
      <c r="D377" s="8" t="b">
        <v>0</v>
      </c>
      <c r="E377" s="9"/>
      <c r="F377" s="8" t="b">
        <v>0</v>
      </c>
      <c r="G377" s="9"/>
      <c r="H377" s="8" t="b">
        <v>0</v>
      </c>
      <c r="I377" s="7"/>
      <c r="J377" s="9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10" t="s">
        <v>121</v>
      </c>
      <c r="B378" s="75" t="s">
        <v>23</v>
      </c>
      <c r="C378" s="20">
        <v>5.0</v>
      </c>
      <c r="D378" s="8" t="b">
        <v>0</v>
      </c>
      <c r="E378" s="9"/>
      <c r="F378" s="8" t="b">
        <v>0</v>
      </c>
      <c r="G378" s="9"/>
      <c r="H378" s="8" t="b">
        <v>0</v>
      </c>
      <c r="I378" s="7"/>
      <c r="J378" s="9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10" t="s">
        <v>121</v>
      </c>
      <c r="B379" s="76" t="s">
        <v>23</v>
      </c>
      <c r="C379" s="22">
        <v>6.0</v>
      </c>
      <c r="D379" s="8" t="b">
        <v>0</v>
      </c>
      <c r="E379" s="9"/>
      <c r="F379" s="8" t="b">
        <v>0</v>
      </c>
      <c r="G379" s="9"/>
      <c r="H379" s="8" t="b">
        <v>0</v>
      </c>
      <c r="I379" s="7"/>
      <c r="J379" s="9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10" t="s">
        <v>121</v>
      </c>
      <c r="B380" s="75" t="s">
        <v>23</v>
      </c>
      <c r="C380" s="30">
        <v>7.0</v>
      </c>
      <c r="D380" s="8" t="b">
        <v>0</v>
      </c>
      <c r="E380" s="9"/>
      <c r="F380" s="8" t="b">
        <v>0</v>
      </c>
      <c r="G380" s="9"/>
      <c r="H380" s="8" t="b">
        <v>0</v>
      </c>
      <c r="I380" s="7"/>
      <c r="J380" s="9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10" t="s">
        <v>121</v>
      </c>
      <c r="B381" s="78" t="s">
        <v>28</v>
      </c>
      <c r="C381" s="32">
        <v>1.0</v>
      </c>
      <c r="D381" s="8" t="b">
        <v>0</v>
      </c>
      <c r="E381" s="9"/>
      <c r="F381" s="8" t="b">
        <v>0</v>
      </c>
      <c r="G381" s="9"/>
      <c r="H381" s="8" t="b">
        <v>0</v>
      </c>
      <c r="I381" s="7"/>
      <c r="J381" s="9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10" t="s">
        <v>121</v>
      </c>
      <c r="B382" s="79" t="s">
        <v>28</v>
      </c>
      <c r="C382" s="20">
        <v>2.0</v>
      </c>
      <c r="D382" s="8" t="b">
        <v>0</v>
      </c>
      <c r="E382" s="9"/>
      <c r="F382" s="8" t="b">
        <v>0</v>
      </c>
      <c r="G382" s="9"/>
      <c r="H382" s="8" t="b">
        <v>0</v>
      </c>
      <c r="I382" s="7"/>
      <c r="J382" s="9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10" t="s">
        <v>121</v>
      </c>
      <c r="B383" s="78" t="s">
        <v>28</v>
      </c>
      <c r="C383" s="32">
        <v>3.0</v>
      </c>
      <c r="D383" s="8" t="b">
        <v>0</v>
      </c>
      <c r="E383" s="9"/>
      <c r="F383" s="8" t="b">
        <v>0</v>
      </c>
      <c r="G383" s="9"/>
      <c r="H383" s="8" t="b">
        <v>0</v>
      </c>
      <c r="I383" s="7"/>
      <c r="J383" s="9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10" t="s">
        <v>121</v>
      </c>
      <c r="B384" s="79" t="s">
        <v>28</v>
      </c>
      <c r="C384" s="20">
        <v>4.0</v>
      </c>
      <c r="D384" s="8" t="b">
        <v>0</v>
      </c>
      <c r="E384" s="9"/>
      <c r="F384" s="8" t="b">
        <v>0</v>
      </c>
      <c r="G384" s="9"/>
      <c r="H384" s="8" t="b">
        <v>0</v>
      </c>
      <c r="I384" s="7"/>
      <c r="J384" s="9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10" t="s">
        <v>121</v>
      </c>
      <c r="B385" s="78" t="s">
        <v>28</v>
      </c>
      <c r="C385" s="32">
        <v>5.0</v>
      </c>
      <c r="D385" s="8" t="b">
        <v>0</v>
      </c>
      <c r="E385" s="9"/>
      <c r="F385" s="8" t="b">
        <v>0</v>
      </c>
      <c r="G385" s="9"/>
      <c r="H385" s="8" t="b">
        <v>0</v>
      </c>
      <c r="I385" s="7"/>
      <c r="J385" s="9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10" t="s">
        <v>121</v>
      </c>
      <c r="B386" s="79" t="s">
        <v>28</v>
      </c>
      <c r="C386" s="20">
        <v>6.0</v>
      </c>
      <c r="D386" s="8" t="b">
        <v>0</v>
      </c>
      <c r="E386" s="9"/>
      <c r="F386" s="8" t="b">
        <v>0</v>
      </c>
      <c r="G386" s="9"/>
      <c r="H386" s="8" t="b">
        <v>0</v>
      </c>
      <c r="I386" s="7"/>
      <c r="J386" s="9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10" t="s">
        <v>121</v>
      </c>
      <c r="B387" s="78" t="s">
        <v>28</v>
      </c>
      <c r="C387" s="35">
        <v>7.0</v>
      </c>
      <c r="D387" s="8" t="b">
        <v>0</v>
      </c>
      <c r="E387" s="9"/>
      <c r="F387" s="8" t="b">
        <v>0</v>
      </c>
      <c r="G387" s="9"/>
      <c r="H387" s="8" t="b">
        <v>0</v>
      </c>
      <c r="I387" s="7"/>
      <c r="J387" s="9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10" t="s">
        <v>121</v>
      </c>
      <c r="B388" s="80" t="s">
        <v>30</v>
      </c>
      <c r="C388" s="20">
        <v>1.0</v>
      </c>
      <c r="D388" s="8" t="b">
        <v>0</v>
      </c>
      <c r="E388" s="9"/>
      <c r="F388" s="8" t="b">
        <v>0</v>
      </c>
      <c r="G388" s="9"/>
      <c r="H388" s="8" t="b">
        <v>0</v>
      </c>
      <c r="I388" s="7"/>
      <c r="J388" s="9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10" t="s">
        <v>121</v>
      </c>
      <c r="B389" s="81" t="s">
        <v>30</v>
      </c>
      <c r="C389" s="22">
        <v>2.0</v>
      </c>
      <c r="D389" s="8" t="b">
        <v>0</v>
      </c>
      <c r="E389" s="9"/>
      <c r="F389" s="8" t="b">
        <v>0</v>
      </c>
      <c r="G389" s="9"/>
      <c r="H389" s="8" t="b">
        <v>0</v>
      </c>
      <c r="I389" s="7"/>
      <c r="J389" s="9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10" t="s">
        <v>121</v>
      </c>
      <c r="B390" s="80" t="s">
        <v>30</v>
      </c>
      <c r="C390" s="20">
        <v>3.0</v>
      </c>
      <c r="D390" s="8" t="b">
        <v>0</v>
      </c>
      <c r="E390" s="9"/>
      <c r="F390" s="8" t="b">
        <v>0</v>
      </c>
      <c r="G390" s="9"/>
      <c r="H390" s="8" t="b">
        <v>0</v>
      </c>
      <c r="I390" s="7"/>
      <c r="J390" s="9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10" t="s">
        <v>121</v>
      </c>
      <c r="B391" s="81" t="s">
        <v>30</v>
      </c>
      <c r="C391" s="22">
        <v>4.0</v>
      </c>
      <c r="D391" s="8" t="b">
        <v>0</v>
      </c>
      <c r="E391" s="9"/>
      <c r="F391" s="8" t="b">
        <v>0</v>
      </c>
      <c r="G391" s="9"/>
      <c r="H391" s="8" t="b">
        <v>0</v>
      </c>
      <c r="I391" s="7"/>
      <c r="J391" s="9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10" t="s">
        <v>121</v>
      </c>
      <c r="B392" s="80" t="s">
        <v>30</v>
      </c>
      <c r="C392" s="20">
        <v>5.0</v>
      </c>
      <c r="D392" s="8" t="b">
        <v>0</v>
      </c>
      <c r="E392" s="9"/>
      <c r="F392" s="8" t="b">
        <v>0</v>
      </c>
      <c r="G392" s="9"/>
      <c r="H392" s="8" t="b">
        <v>0</v>
      </c>
      <c r="I392" s="7"/>
      <c r="J392" s="9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10" t="s">
        <v>121</v>
      </c>
      <c r="B393" s="81" t="s">
        <v>30</v>
      </c>
      <c r="C393" s="22">
        <v>6.0</v>
      </c>
      <c r="D393" s="8" t="b">
        <v>0</v>
      </c>
      <c r="E393" s="9"/>
      <c r="F393" s="8" t="b">
        <v>0</v>
      </c>
      <c r="G393" s="9"/>
      <c r="H393" s="8" t="b">
        <v>0</v>
      </c>
      <c r="I393" s="7"/>
      <c r="J393" s="9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10" t="s">
        <v>121</v>
      </c>
      <c r="B394" s="80" t="s">
        <v>30</v>
      </c>
      <c r="C394" s="30">
        <v>7.0</v>
      </c>
      <c r="D394" s="8" t="b">
        <v>0</v>
      </c>
      <c r="E394" s="9"/>
      <c r="F394" s="8" t="b">
        <v>0</v>
      </c>
      <c r="G394" s="9"/>
      <c r="H394" s="8" t="b">
        <v>0</v>
      </c>
      <c r="I394" s="7"/>
      <c r="J394" s="9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10" t="s">
        <v>121</v>
      </c>
      <c r="B395" s="44" t="s">
        <v>33</v>
      </c>
      <c r="C395" s="32">
        <v>1.0</v>
      </c>
      <c r="D395" s="8" t="b">
        <v>0</v>
      </c>
      <c r="E395" s="9"/>
      <c r="F395" s="8" t="b">
        <v>0</v>
      </c>
      <c r="G395" s="9"/>
      <c r="H395" s="8" t="b">
        <v>0</v>
      </c>
      <c r="I395" s="7"/>
      <c r="J395" s="9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10" t="s">
        <v>121</v>
      </c>
      <c r="B396" s="45" t="s">
        <v>33</v>
      </c>
      <c r="C396" s="20">
        <v>2.0</v>
      </c>
      <c r="D396" s="8" t="b">
        <v>0</v>
      </c>
      <c r="E396" s="9"/>
      <c r="F396" s="8" t="b">
        <v>0</v>
      </c>
      <c r="G396" s="9"/>
      <c r="H396" s="8" t="b">
        <v>0</v>
      </c>
      <c r="I396" s="7"/>
      <c r="J396" s="9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10" t="s">
        <v>121</v>
      </c>
      <c r="B397" s="44" t="s">
        <v>33</v>
      </c>
      <c r="C397" s="32">
        <v>3.0</v>
      </c>
      <c r="D397" s="8" t="b">
        <v>0</v>
      </c>
      <c r="E397" s="9"/>
      <c r="F397" s="8" t="b">
        <v>0</v>
      </c>
      <c r="G397" s="9"/>
      <c r="H397" s="8" t="b">
        <v>0</v>
      </c>
      <c r="I397" s="7"/>
      <c r="J397" s="9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10" t="s">
        <v>121</v>
      </c>
      <c r="B398" s="45" t="s">
        <v>33</v>
      </c>
      <c r="C398" s="20">
        <v>4.0</v>
      </c>
      <c r="D398" s="8" t="b">
        <v>0</v>
      </c>
      <c r="E398" s="9"/>
      <c r="F398" s="8" t="b">
        <v>0</v>
      </c>
      <c r="G398" s="9"/>
      <c r="H398" s="8" t="b">
        <v>0</v>
      </c>
      <c r="I398" s="7"/>
      <c r="J398" s="9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10" t="s">
        <v>121</v>
      </c>
      <c r="B399" s="44" t="s">
        <v>33</v>
      </c>
      <c r="C399" s="32">
        <v>5.0</v>
      </c>
      <c r="D399" s="8" t="b">
        <v>0</v>
      </c>
      <c r="E399" s="9"/>
      <c r="F399" s="8" t="b">
        <v>0</v>
      </c>
      <c r="G399" s="9"/>
      <c r="H399" s="8" t="b">
        <v>0</v>
      </c>
      <c r="I399" s="7"/>
      <c r="J399" s="9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10" t="s">
        <v>121</v>
      </c>
      <c r="B400" s="45" t="s">
        <v>33</v>
      </c>
      <c r="C400" s="20">
        <v>6.0</v>
      </c>
      <c r="D400" s="8" t="b">
        <v>0</v>
      </c>
      <c r="E400" s="9"/>
      <c r="F400" s="8" t="b">
        <v>0</v>
      </c>
      <c r="G400" s="9"/>
      <c r="H400" s="8" t="b">
        <v>0</v>
      </c>
      <c r="I400" s="7"/>
      <c r="J400" s="9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10" t="s">
        <v>121</v>
      </c>
      <c r="B401" s="46" t="s">
        <v>33</v>
      </c>
      <c r="C401" s="35">
        <v>7.0</v>
      </c>
      <c r="D401" s="8" t="b">
        <v>1</v>
      </c>
      <c r="E401" s="9"/>
      <c r="F401" s="8" t="b">
        <v>0</v>
      </c>
      <c r="G401" s="9"/>
      <c r="H401" s="8" t="b">
        <v>0</v>
      </c>
      <c r="I401" s="7"/>
      <c r="J401" s="9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10" t="s">
        <v>121</v>
      </c>
      <c r="B402" s="90" t="s">
        <v>35</v>
      </c>
      <c r="C402" s="91">
        <v>1.0</v>
      </c>
      <c r="D402" s="8" t="b">
        <v>0</v>
      </c>
      <c r="E402" s="9"/>
      <c r="F402" s="8" t="b">
        <v>0</v>
      </c>
      <c r="G402" s="9"/>
      <c r="H402" s="8" t="b">
        <v>0</v>
      </c>
      <c r="I402" s="7"/>
      <c r="J402" s="9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10" t="s">
        <v>121</v>
      </c>
      <c r="B403" s="90" t="s">
        <v>35</v>
      </c>
      <c r="C403" s="11">
        <v>2.0</v>
      </c>
      <c r="D403" s="8" t="b">
        <v>0</v>
      </c>
      <c r="E403" s="9"/>
      <c r="F403" s="8" t="b">
        <v>0</v>
      </c>
      <c r="G403" s="9"/>
      <c r="H403" s="8" t="b">
        <v>0</v>
      </c>
      <c r="I403" s="7"/>
      <c r="J403" s="9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10" t="s">
        <v>121</v>
      </c>
      <c r="B404" s="90" t="s">
        <v>35</v>
      </c>
      <c r="C404" s="92">
        <v>3.0</v>
      </c>
      <c r="D404" s="8" t="b">
        <v>0</v>
      </c>
      <c r="E404" s="9"/>
      <c r="F404" s="8" t="b">
        <v>0</v>
      </c>
      <c r="G404" s="9"/>
      <c r="H404" s="8" t="b">
        <v>0</v>
      </c>
      <c r="I404" s="7"/>
      <c r="J404" s="9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10" t="s">
        <v>121</v>
      </c>
      <c r="B405" s="90" t="s">
        <v>35</v>
      </c>
      <c r="C405" s="11">
        <v>4.0</v>
      </c>
      <c r="D405" s="8" t="b">
        <v>0</v>
      </c>
      <c r="E405" s="9"/>
      <c r="F405" s="8" t="b">
        <v>0</v>
      </c>
      <c r="G405" s="9"/>
      <c r="H405" s="8" t="b">
        <v>0</v>
      </c>
      <c r="I405" s="7"/>
      <c r="J405" s="9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10" t="s">
        <v>121</v>
      </c>
      <c r="B406" s="90" t="s">
        <v>35</v>
      </c>
      <c r="C406" s="92">
        <v>5.0</v>
      </c>
      <c r="D406" s="8" t="b">
        <v>0</v>
      </c>
      <c r="E406" s="9"/>
      <c r="F406" s="8" t="b">
        <v>0</v>
      </c>
      <c r="G406" s="9"/>
      <c r="H406" s="8" t="b">
        <v>0</v>
      </c>
      <c r="I406" s="7"/>
      <c r="J406" s="9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10" t="s">
        <v>121</v>
      </c>
      <c r="B407" s="90" t="s">
        <v>35</v>
      </c>
      <c r="C407" s="11">
        <v>6.0</v>
      </c>
      <c r="D407" s="8" t="b">
        <v>1</v>
      </c>
      <c r="E407" s="9"/>
      <c r="F407" s="8" t="b">
        <v>0</v>
      </c>
      <c r="G407" s="9"/>
      <c r="H407" s="8" t="b">
        <v>0</v>
      </c>
      <c r="I407" s="7"/>
      <c r="J407" s="9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10" t="s">
        <v>121</v>
      </c>
      <c r="B408" s="90" t="s">
        <v>35</v>
      </c>
      <c r="C408" s="93">
        <v>7.0</v>
      </c>
      <c r="D408" s="8" t="b">
        <v>0</v>
      </c>
      <c r="E408" s="9"/>
      <c r="F408" s="8" t="b">
        <v>0</v>
      </c>
      <c r="G408" s="9"/>
      <c r="H408" s="8" t="b">
        <v>0</v>
      </c>
      <c r="I408" s="7"/>
      <c r="J408" s="9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54" t="s">
        <v>142</v>
      </c>
      <c r="B409" s="94" t="s">
        <v>143</v>
      </c>
      <c r="C409" s="48">
        <v>1.0</v>
      </c>
      <c r="D409" s="49" t="b">
        <v>0</v>
      </c>
      <c r="E409" s="50"/>
      <c r="F409" s="49" t="b">
        <v>0</v>
      </c>
      <c r="G409" s="50"/>
      <c r="H409" s="49" t="b">
        <v>0</v>
      </c>
      <c r="I409" s="51"/>
      <c r="J409" s="50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10" t="s">
        <v>142</v>
      </c>
      <c r="B410" s="19" t="s">
        <v>143</v>
      </c>
      <c r="C410" s="20">
        <v>2.0</v>
      </c>
      <c r="D410" s="8" t="b">
        <v>0</v>
      </c>
      <c r="E410" s="9"/>
      <c r="F410" s="8" t="b">
        <v>0</v>
      </c>
      <c r="G410" s="9"/>
      <c r="H410" s="8" t="b">
        <v>0</v>
      </c>
      <c r="I410" s="7"/>
      <c r="J410" s="9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10" t="s">
        <v>142</v>
      </c>
      <c r="B411" s="21" t="s">
        <v>143</v>
      </c>
      <c r="C411" s="22">
        <v>3.0</v>
      </c>
      <c r="D411" s="8" t="b">
        <v>1</v>
      </c>
      <c r="E411" s="1" t="s">
        <v>144</v>
      </c>
      <c r="F411" s="8" t="b">
        <v>0</v>
      </c>
      <c r="G411" s="9"/>
      <c r="H411" s="8" t="b">
        <v>0</v>
      </c>
      <c r="I411" s="7"/>
      <c r="J411" s="9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10" t="s">
        <v>142</v>
      </c>
      <c r="B412" s="19" t="s">
        <v>143</v>
      </c>
      <c r="C412" s="20">
        <v>4.0</v>
      </c>
      <c r="D412" s="8" t="b">
        <v>1</v>
      </c>
      <c r="E412" s="8" t="s">
        <v>145</v>
      </c>
      <c r="F412" s="8" t="b">
        <v>0</v>
      </c>
      <c r="G412" s="9"/>
      <c r="H412" s="8" t="b">
        <v>0</v>
      </c>
      <c r="I412" s="7"/>
      <c r="J412" s="9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10" t="s">
        <v>142</v>
      </c>
      <c r="B413" s="21" t="s">
        <v>143</v>
      </c>
      <c r="C413" s="22">
        <v>5.0</v>
      </c>
      <c r="D413" s="8" t="b">
        <v>1</v>
      </c>
      <c r="E413" s="8" t="s">
        <v>146</v>
      </c>
      <c r="F413" s="8" t="b">
        <v>0</v>
      </c>
      <c r="G413" s="9"/>
      <c r="H413" s="8" t="b">
        <v>0</v>
      </c>
      <c r="I413" s="7"/>
      <c r="J413" s="9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10" t="s">
        <v>142</v>
      </c>
      <c r="B414" s="19" t="s">
        <v>143</v>
      </c>
      <c r="C414" s="20">
        <v>6.0</v>
      </c>
      <c r="D414" s="8" t="b">
        <v>1</v>
      </c>
      <c r="E414" s="8" t="s">
        <v>147</v>
      </c>
      <c r="F414" s="8" t="b">
        <v>0</v>
      </c>
      <c r="G414" s="9"/>
      <c r="H414" s="8" t="b">
        <v>0</v>
      </c>
      <c r="I414" s="7"/>
      <c r="J414" s="9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10" t="s">
        <v>142</v>
      </c>
      <c r="B415" s="21" t="s">
        <v>143</v>
      </c>
      <c r="C415" s="22">
        <v>7.0</v>
      </c>
      <c r="D415" s="8" t="b">
        <v>0</v>
      </c>
      <c r="E415" s="9"/>
      <c r="F415" s="8" t="b">
        <v>0</v>
      </c>
      <c r="G415" s="9"/>
      <c r="H415" s="8" t="b">
        <v>0</v>
      </c>
      <c r="I415" s="7"/>
      <c r="J415" s="9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10" t="s">
        <v>142</v>
      </c>
      <c r="B416" s="23" t="s">
        <v>143</v>
      </c>
      <c r="C416" s="20">
        <v>8.0</v>
      </c>
      <c r="D416" s="8" t="b">
        <v>0</v>
      </c>
      <c r="E416" s="9"/>
      <c r="F416" s="8" t="b">
        <v>0</v>
      </c>
      <c r="G416" s="9"/>
      <c r="H416" s="8" t="b">
        <v>0</v>
      </c>
      <c r="I416" s="7"/>
      <c r="J416" s="9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58" t="s">
        <v>142</v>
      </c>
      <c r="B417" s="95" t="s">
        <v>143</v>
      </c>
      <c r="C417" s="63">
        <v>9.0</v>
      </c>
      <c r="D417" s="61" t="b">
        <v>1</v>
      </c>
      <c r="E417" s="8" t="s">
        <v>148</v>
      </c>
      <c r="F417" s="61" t="b">
        <v>0</v>
      </c>
      <c r="G417" s="64"/>
      <c r="H417" s="61" t="b">
        <v>0</v>
      </c>
      <c r="I417" s="65"/>
      <c r="J417" s="6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10" t="s">
        <v>142</v>
      </c>
      <c r="B418" s="23" t="s">
        <v>149</v>
      </c>
      <c r="C418" s="20">
        <v>1.0</v>
      </c>
      <c r="D418" s="8" t="b">
        <v>1</v>
      </c>
      <c r="E418" s="8" t="s">
        <v>150</v>
      </c>
      <c r="F418" s="8" t="b">
        <v>0</v>
      </c>
      <c r="G418" s="9"/>
      <c r="H418" s="8" t="b">
        <v>0</v>
      </c>
      <c r="I418" s="7"/>
      <c r="J418" s="9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10" t="s">
        <v>142</v>
      </c>
      <c r="B419" s="23" t="s">
        <v>149</v>
      </c>
      <c r="C419" s="22">
        <v>2.0</v>
      </c>
      <c r="D419" s="8" t="b">
        <v>1</v>
      </c>
      <c r="E419" s="8" t="s">
        <v>151</v>
      </c>
      <c r="F419" s="8" t="b">
        <v>0</v>
      </c>
      <c r="G419" s="9"/>
      <c r="H419" s="8" t="b">
        <v>0</v>
      </c>
      <c r="I419" s="7"/>
      <c r="J419" s="9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10" t="s">
        <v>142</v>
      </c>
      <c r="B420" s="23" t="s">
        <v>149</v>
      </c>
      <c r="C420" s="20">
        <v>3.0</v>
      </c>
      <c r="D420" s="8" t="b">
        <v>0</v>
      </c>
      <c r="E420" s="9"/>
      <c r="F420" s="8" t="b">
        <v>0</v>
      </c>
      <c r="G420" s="9"/>
      <c r="H420" s="8" t="b">
        <v>0</v>
      </c>
      <c r="I420" s="7"/>
      <c r="J420" s="9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10" t="s">
        <v>142</v>
      </c>
      <c r="B421" s="23" t="s">
        <v>149</v>
      </c>
      <c r="C421" s="22">
        <v>4.0</v>
      </c>
      <c r="D421" s="8" t="b">
        <v>0</v>
      </c>
      <c r="E421" s="9"/>
      <c r="F421" s="8" t="b">
        <v>0</v>
      </c>
      <c r="G421" s="9"/>
      <c r="H421" s="8" t="b">
        <v>0</v>
      </c>
      <c r="I421" s="7"/>
      <c r="J421" s="9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10" t="s">
        <v>142</v>
      </c>
      <c r="B422" s="23" t="s">
        <v>149</v>
      </c>
      <c r="C422" s="20">
        <v>5.0</v>
      </c>
      <c r="D422" s="8" t="b">
        <v>1</v>
      </c>
      <c r="E422" s="8" t="s">
        <v>152</v>
      </c>
      <c r="F422" s="8" t="b">
        <v>0</v>
      </c>
      <c r="G422" s="9"/>
      <c r="H422" s="8" t="b">
        <v>0</v>
      </c>
      <c r="I422" s="7"/>
      <c r="J422" s="9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10" t="s">
        <v>142</v>
      </c>
      <c r="B423" s="23" t="s">
        <v>149</v>
      </c>
      <c r="C423" s="20">
        <v>6.0</v>
      </c>
      <c r="D423" s="8" t="b">
        <v>0</v>
      </c>
      <c r="E423" s="9"/>
      <c r="F423" s="8" t="b">
        <v>0</v>
      </c>
      <c r="G423" s="9"/>
      <c r="H423" s="8" t="b">
        <v>0</v>
      </c>
      <c r="I423" s="7"/>
      <c r="J423" s="9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10" t="s">
        <v>142</v>
      </c>
      <c r="B424" s="23" t="s">
        <v>149</v>
      </c>
      <c r="C424" s="22">
        <v>7.0</v>
      </c>
      <c r="D424" s="8" t="b">
        <v>0</v>
      </c>
      <c r="E424" s="9"/>
      <c r="F424" s="8" t="b">
        <v>0</v>
      </c>
      <c r="G424" s="9"/>
      <c r="H424" s="8" t="b">
        <v>0</v>
      </c>
      <c r="I424" s="7"/>
      <c r="J424" s="9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10" t="s">
        <v>142</v>
      </c>
      <c r="B425" s="23" t="s">
        <v>149</v>
      </c>
      <c r="C425" s="22">
        <v>3.0</v>
      </c>
      <c r="D425" s="8" t="b">
        <v>0</v>
      </c>
      <c r="E425" s="9"/>
      <c r="F425" s="8" t="b">
        <v>0</v>
      </c>
      <c r="G425" s="9"/>
      <c r="H425" s="8" t="b">
        <v>0</v>
      </c>
      <c r="I425" s="7"/>
      <c r="J425" s="9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10" t="s">
        <v>142</v>
      </c>
      <c r="B426" s="23" t="s">
        <v>149</v>
      </c>
      <c r="C426" s="20">
        <v>4.0</v>
      </c>
      <c r="D426" s="8" t="b">
        <v>0</v>
      </c>
      <c r="E426" s="9"/>
      <c r="F426" s="8" t="b">
        <v>0</v>
      </c>
      <c r="G426" s="9"/>
      <c r="H426" s="8" t="b">
        <v>0</v>
      </c>
      <c r="I426" s="7"/>
      <c r="J426" s="9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10" t="s">
        <v>142</v>
      </c>
      <c r="B427" s="23" t="s">
        <v>149</v>
      </c>
      <c r="C427" s="22">
        <v>5.0</v>
      </c>
      <c r="D427" s="8" t="b">
        <v>0</v>
      </c>
      <c r="E427" s="9"/>
      <c r="F427" s="8" t="b">
        <v>0</v>
      </c>
      <c r="G427" s="9"/>
      <c r="H427" s="8" t="b">
        <v>0</v>
      </c>
      <c r="I427" s="7"/>
      <c r="J427" s="9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10" t="s">
        <v>142</v>
      </c>
      <c r="B428" s="23" t="s">
        <v>149</v>
      </c>
      <c r="C428" s="20">
        <v>6.0</v>
      </c>
      <c r="D428" s="8" t="b">
        <v>0</v>
      </c>
      <c r="E428" s="9"/>
      <c r="F428" s="8" t="b">
        <v>0</v>
      </c>
      <c r="G428" s="9"/>
      <c r="H428" s="8" t="b">
        <v>0</v>
      </c>
      <c r="I428" s="7"/>
      <c r="J428" s="9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58" t="s">
        <v>142</v>
      </c>
      <c r="B429" s="59" t="s">
        <v>149</v>
      </c>
      <c r="C429" s="63">
        <v>7.0</v>
      </c>
      <c r="D429" s="61" t="b">
        <v>0</v>
      </c>
      <c r="E429" s="64"/>
      <c r="F429" s="61" t="b">
        <v>0</v>
      </c>
      <c r="G429" s="64"/>
      <c r="H429" s="61" t="b">
        <v>0</v>
      </c>
      <c r="I429" s="65"/>
      <c r="J429" s="6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 t="s">
        <v>0</v>
      </c>
      <c r="B434" s="4" t="s">
        <v>153</v>
      </c>
      <c r="C434" s="4" t="s">
        <v>154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 t="s">
        <v>10</v>
      </c>
      <c r="B435" s="3">
        <f>COUNTIF(D2:D78, TRUE)</f>
        <v>19</v>
      </c>
      <c r="C435" s="3">
        <f t="shared" ref="C435:C440" si="1">ROUND(PRODUCT(DIVIDE(B435,77),100), 1)</f>
        <v>24.7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 t="s">
        <v>36</v>
      </c>
      <c r="B436" s="4">
        <f>countif(D86:D163,TRUE)</f>
        <v>10</v>
      </c>
      <c r="C436" s="3">
        <f t="shared" si="1"/>
        <v>13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 t="s">
        <v>54</v>
      </c>
      <c r="B437" s="3">
        <f>countif(D164:D240,TRUE)</f>
        <v>13</v>
      </c>
      <c r="C437" s="3">
        <f t="shared" si="1"/>
        <v>16.9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 t="s">
        <v>58</v>
      </c>
      <c r="B438" s="3">
        <f>countif(D241:D317,TRUE)</f>
        <v>51</v>
      </c>
      <c r="C438" s="3">
        <f t="shared" si="1"/>
        <v>66.2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 t="s">
        <v>121</v>
      </c>
      <c r="B439" s="3">
        <f>countif(D325:D401,TRUE)</f>
        <v>21</v>
      </c>
      <c r="C439" s="3">
        <f t="shared" si="1"/>
        <v>27.3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 t="s">
        <v>142</v>
      </c>
      <c r="B440" s="3">
        <f>countif(D409:D429,TRUE)</f>
        <v>8</v>
      </c>
      <c r="C440" s="3">
        <f t="shared" si="1"/>
        <v>10.4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</sheetData>
  <dataValidations>
    <dataValidation type="custom" allowBlank="1" showDropDown="1" sqref="I2:I429">
      <formula1>OR(NOT(ISERROR(DATEVALUE(I2))), AND(ISNUMBER(I2), LEFT(CELL("format", I2))="D"))</formula1>
    </dataValidation>
    <dataValidation type="custom" allowBlank="1" showDropDown="1" sqref="C2:C429">
      <formula1>AND(ISNUMBER(C2),(NOT(OR(NOT(ISERROR(DATEVALUE(C2))), AND(ISNUMBER(C2), LEFT(CELL("format", C2))="D")))))</formula1>
    </dataValidation>
    <dataValidation type="list" allowBlank="1" sqref="B2:B429">
      <formula1>"A,B,C,D,E,F,G,H,I,J,K,L,SLOT1,SLOT2"</formula1>
    </dataValidation>
    <dataValidation type="list" allowBlank="1" sqref="A2:A429">
      <formula1>"Grade 6,Grade 7,Grade 8,Grade 9,Grade 10,Grade 11,Grade 12"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